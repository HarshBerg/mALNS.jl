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esktop\Study\Project\mALNS\"/>
    </mc:Choice>
  </mc:AlternateContent>
  <xr:revisionPtr revIDLastSave="0" documentId="13_ncr:1_{E40D23FA-CA9A-4618-A2D8-CA7DDC8E40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" i="2"/>
  <c r="S4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R3" i="1"/>
  <c r="R4" i="1"/>
  <c r="Q3" i="1"/>
  <c r="AF4" i="1"/>
  <c r="AF5" i="1"/>
  <c r="AF6" i="1"/>
  <c r="AF7" i="1"/>
  <c r="AF8" i="1"/>
  <c r="AF9" i="1"/>
  <c r="Q9" i="1" s="1"/>
  <c r="AF10" i="1"/>
  <c r="Q10" i="1" s="1"/>
  <c r="AF11" i="1"/>
  <c r="Q11" i="1" s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R8" i="1"/>
  <c r="R9" i="1"/>
  <c r="R10" i="1"/>
  <c r="Q8" i="1"/>
  <c r="AG3" i="1"/>
  <c r="R11" i="1"/>
  <c r="AF3" i="1"/>
  <c r="O3" i="1"/>
  <c r="O4" i="1"/>
  <c r="O5" i="1"/>
  <c r="O6" i="1"/>
  <c r="O7" i="1"/>
  <c r="R7" i="1" s="1"/>
  <c r="O8" i="1"/>
  <c r="O9" i="1"/>
  <c r="O10" i="1"/>
  <c r="O11" i="1"/>
  <c r="N3" i="1"/>
  <c r="N4" i="1"/>
  <c r="N5" i="1"/>
  <c r="N6" i="1"/>
  <c r="N7" i="1"/>
  <c r="Q7" i="1" s="1"/>
  <c r="N8" i="1"/>
  <c r="N9" i="1"/>
  <c r="N10" i="1"/>
  <c r="N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12" i="1"/>
  <c r="N40" i="1"/>
  <c r="N41" i="1"/>
  <c r="N13" i="1"/>
  <c r="Q13" i="1" s="1"/>
  <c r="N14" i="1"/>
  <c r="N15" i="1"/>
  <c r="N16" i="1"/>
  <c r="Q16" i="1" s="1"/>
  <c r="N17" i="1"/>
  <c r="N18" i="1"/>
  <c r="N19" i="1"/>
  <c r="N20" i="1"/>
  <c r="N21" i="1"/>
  <c r="N22" i="1"/>
  <c r="N23" i="1"/>
  <c r="N24" i="1"/>
  <c r="N25" i="1"/>
  <c r="N26" i="1"/>
  <c r="Q26" i="1" s="1"/>
  <c r="N27" i="1"/>
  <c r="N28" i="1"/>
  <c r="Q28" i="1" s="1"/>
  <c r="N29" i="1"/>
  <c r="Q29" i="1" s="1"/>
  <c r="N30" i="1"/>
  <c r="Q30" i="1" s="1"/>
  <c r="N31" i="1"/>
  <c r="N32" i="1"/>
  <c r="N33" i="1"/>
  <c r="Q33" i="1" s="1"/>
  <c r="N34" i="1"/>
  <c r="N35" i="1"/>
  <c r="N36" i="1"/>
  <c r="Q36" i="1" s="1"/>
  <c r="N37" i="1"/>
  <c r="N38" i="1"/>
  <c r="N39" i="1"/>
  <c r="N12" i="1"/>
  <c r="Q12" i="1" l="1"/>
  <c r="Q38" i="1"/>
  <c r="Q18" i="1"/>
  <c r="Q37" i="1"/>
  <c r="Q17" i="1"/>
  <c r="Q6" i="1"/>
  <c r="R6" i="1"/>
  <c r="Q5" i="1"/>
  <c r="R5" i="1"/>
  <c r="Q4" i="1"/>
  <c r="Q32" i="1"/>
  <c r="Q31" i="1"/>
  <c r="R36" i="1"/>
  <c r="R16" i="1"/>
  <c r="R35" i="1"/>
  <c r="R13" i="1"/>
  <c r="R33" i="1"/>
  <c r="R32" i="1"/>
  <c r="Q27" i="1"/>
  <c r="R34" i="1"/>
  <c r="R30" i="1"/>
  <c r="R28" i="1"/>
  <c r="R27" i="1"/>
  <c r="R26" i="1"/>
  <c r="R25" i="1"/>
  <c r="R24" i="1"/>
  <c r="R12" i="1"/>
  <c r="R22" i="1"/>
  <c r="R21" i="1"/>
  <c r="R40" i="1"/>
  <c r="R20" i="1"/>
  <c r="R39" i="1"/>
  <c r="R19" i="1"/>
  <c r="R38" i="1"/>
  <c r="R18" i="1"/>
  <c r="R37" i="1"/>
  <c r="R17" i="1"/>
  <c r="R23" i="1"/>
  <c r="R29" i="1"/>
  <c r="Q21" i="1"/>
  <c r="Q40" i="1"/>
  <c r="R41" i="1"/>
  <c r="Q35" i="1"/>
  <c r="Q15" i="1"/>
  <c r="Q34" i="1"/>
  <c r="Q14" i="1"/>
  <c r="Q23" i="1"/>
  <c r="R15" i="1"/>
  <c r="R14" i="1"/>
  <c r="Q25" i="1"/>
  <c r="Q24" i="1"/>
  <c r="Q20" i="1"/>
  <c r="Q41" i="1"/>
  <c r="Q22" i="1"/>
  <c r="R31" i="1"/>
  <c r="Q39" i="1"/>
  <c r="Q19" i="1"/>
  <c r="Q42" i="1" l="1"/>
  <c r="R42" i="1"/>
</calcChain>
</file>

<file path=xl/sharedStrings.xml><?xml version="1.0" encoding="utf-8"?>
<sst xmlns="http://schemas.openxmlformats.org/spreadsheetml/2006/main" count="153" uniqueCount="62">
  <si>
    <t>con</t>
  </si>
  <si>
    <t>instance</t>
  </si>
  <si>
    <t>initial</t>
  </si>
  <si>
    <t>X-n411-k19</t>
  </si>
  <si>
    <t>X-n420-k130</t>
  </si>
  <si>
    <t>X-n439-k37</t>
  </si>
  <si>
    <t>X-n469-k138</t>
  </si>
  <si>
    <t>X-n480-k70</t>
  </si>
  <si>
    <t>X-n502-k39</t>
  </si>
  <si>
    <t>Row</t>
  </si>
  <si>
    <t>X-n209-k16</t>
  </si>
  <si>
    <t>X-n223-k34</t>
  </si>
  <si>
    <t>X-n242-k48</t>
  </si>
  <si>
    <t>X-n270-k35</t>
  </si>
  <si>
    <t>X-n298-k31</t>
  </si>
  <si>
    <t>X-n313-k71</t>
  </si>
  <si>
    <t>X-n331-k15</t>
  </si>
  <si>
    <t>X-n351-k40</t>
  </si>
  <si>
    <t>X-n367-k17</t>
  </si>
  <si>
    <t>X-n393-k38</t>
  </si>
  <si>
    <t>1 │</t>
  </si>
  <si>
    <t>X-n524-k153</t>
  </si>
  <si>
    <t>X-n548-k50</t>
  </si>
  <si>
    <t>X-n561-k42</t>
  </si>
  <si>
    <t>X-n586-k159</t>
  </si>
  <si>
    <t>X-n613-k62</t>
  </si>
  <si>
    <t>X-n627-k43</t>
  </si>
  <si>
    <t>X-n641-k35</t>
  </si>
  <si>
    <t>X-n655-k131</t>
  </si>
  <si>
    <t>X-n670-k130</t>
  </si>
  <si>
    <t>X-n701-k44</t>
  </si>
  <si>
    <t>X-n716-k35</t>
  </si>
  <si>
    <t>X-n733-k159</t>
  </si>
  <si>
    <t>X-n749-k98</t>
  </si>
  <si>
    <t>X-n766-k71</t>
  </si>
  <si>
    <t>least</t>
  </si>
  <si>
    <t xml:space="preserve">avg </t>
  </si>
  <si>
    <t xml:space="preserve">least </t>
  </si>
  <si>
    <t>M-n200-k16</t>
  </si>
  <si>
    <t>M-n151-k12</t>
  </si>
  <si>
    <t>M-n121-k7</t>
  </si>
  <si>
    <t>M-n101-k10</t>
  </si>
  <si>
    <t>A-n80-k10</t>
  </si>
  <si>
    <t>A-n69-k9</t>
  </si>
  <si>
    <t>A-n54-k7</t>
  </si>
  <si>
    <t>A-n44-k6</t>
  </si>
  <si>
    <t>A-n33-k5</t>
  </si>
  <si>
    <t>max</t>
  </si>
  <si>
    <t>boolean</t>
  </si>
  <si>
    <t xml:space="preserve">boolean </t>
  </si>
  <si>
    <t>MOD</t>
  </si>
  <si>
    <t>s</t>
  </si>
  <si>
    <t>Instance</t>
  </si>
  <si>
    <t>Optimal solution</t>
  </si>
  <si>
    <t>Sr.no</t>
  </si>
  <si>
    <t>cALNS</t>
  </si>
  <si>
    <t>mALNS</t>
  </si>
  <si>
    <t>Initial value</t>
  </si>
  <si>
    <t>min of 10 seeds</t>
  </si>
  <si>
    <t>max of 10 seeds</t>
  </si>
  <si>
    <t>Avg of 10 seeds</t>
  </si>
  <si>
    <t xml:space="preserve">% 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</si>
</sst>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cALNS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(Sheet2!$C$4:$C$30,Sheet2!$C$32:$C$37,Sheet2!$C$40:$C$42)</c:f>
              <c:strCache>
                <c:ptCount val="36"/>
                <c:pt idx="0">
                  <c:v>A-n33-k5</c:v>
                </c:pt>
                <c:pt idx="1">
                  <c:v>A-n44-k6</c:v>
                </c:pt>
                <c:pt idx="2">
                  <c:v>A-n54-k7</c:v>
                </c:pt>
                <c:pt idx="3">
                  <c:v>A-n69-k9</c:v>
                </c:pt>
                <c:pt idx="4">
                  <c:v>A-n80-k10</c:v>
                </c:pt>
                <c:pt idx="5">
                  <c:v>M-n101-k10</c:v>
                </c:pt>
                <c:pt idx="6">
                  <c:v>M-n121-k7</c:v>
                </c:pt>
                <c:pt idx="7">
                  <c:v>M-n151-k12</c:v>
                </c:pt>
                <c:pt idx="8">
                  <c:v>M-n200-k16</c:v>
                </c:pt>
                <c:pt idx="9">
                  <c:v>X-n209-k16</c:v>
                </c:pt>
                <c:pt idx="10">
                  <c:v>X-n223-k34</c:v>
                </c:pt>
                <c:pt idx="11">
                  <c:v>X-n242-k48</c:v>
                </c:pt>
                <c:pt idx="12">
                  <c:v>X-n270-k35</c:v>
                </c:pt>
                <c:pt idx="13">
                  <c:v>X-n298-k31</c:v>
                </c:pt>
                <c:pt idx="14">
                  <c:v>X-n313-k71</c:v>
                </c:pt>
                <c:pt idx="15">
                  <c:v>X-n331-k15</c:v>
                </c:pt>
                <c:pt idx="16">
                  <c:v>X-n351-k40</c:v>
                </c:pt>
                <c:pt idx="17">
                  <c:v>X-n367-k17</c:v>
                </c:pt>
                <c:pt idx="18">
                  <c:v>X-n393-k38</c:v>
                </c:pt>
                <c:pt idx="19">
                  <c:v>X-n411-k19</c:v>
                </c:pt>
                <c:pt idx="20">
                  <c:v>X-n420-k130</c:v>
                </c:pt>
                <c:pt idx="21">
                  <c:v>X-n439-k37</c:v>
                </c:pt>
                <c:pt idx="22">
                  <c:v>X-n469-k138</c:v>
                </c:pt>
                <c:pt idx="23">
                  <c:v>X-n480-k70</c:v>
                </c:pt>
                <c:pt idx="24">
                  <c:v>X-n502-k39</c:v>
                </c:pt>
                <c:pt idx="25">
                  <c:v>X-n524-k153</c:v>
                </c:pt>
                <c:pt idx="26">
                  <c:v>X-n548-k50</c:v>
                </c:pt>
                <c:pt idx="27">
                  <c:v>X-n586-k159</c:v>
                </c:pt>
                <c:pt idx="28">
                  <c:v>X-n613-k62</c:v>
                </c:pt>
                <c:pt idx="29">
                  <c:v>X-n627-k43</c:v>
                </c:pt>
                <c:pt idx="30">
                  <c:v>X-n641-k35</c:v>
                </c:pt>
                <c:pt idx="31">
                  <c:v>X-n655-k131</c:v>
                </c:pt>
                <c:pt idx="32">
                  <c:v>X-n670-k130</c:v>
                </c:pt>
                <c:pt idx="33">
                  <c:v>X-n733-k159</c:v>
                </c:pt>
                <c:pt idx="34">
                  <c:v>X-n749-k98</c:v>
                </c:pt>
                <c:pt idx="35">
                  <c:v>X-n766-k71</c:v>
                </c:pt>
              </c:strCache>
            </c:strRef>
          </c:cat>
          <c:val>
            <c:numRef>
              <c:f>(Sheet2!$L$4:$L$30,Sheet2!$L$32:$L$37,Sheet2!$L$40:$L$42)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0.43140638481449528</c:v>
                </c:pt>
                <c:pt idx="4">
                  <c:v>1.1344299489506522</c:v>
                </c:pt>
                <c:pt idx="5">
                  <c:v>0</c:v>
                </c:pt>
                <c:pt idx="6">
                  <c:v>0</c:v>
                </c:pt>
                <c:pt idx="7">
                  <c:v>0.98522167487684731</c:v>
                </c:pt>
                <c:pt idx="8">
                  <c:v>1.805337519623234</c:v>
                </c:pt>
                <c:pt idx="9">
                  <c:v>0.67523486430062629</c:v>
                </c:pt>
                <c:pt idx="10">
                  <c:v>0.84823305388629222</c:v>
                </c:pt>
                <c:pt idx="11">
                  <c:v>1.2591992846007902</c:v>
                </c:pt>
                <c:pt idx="12">
                  <c:v>1.2694454676829787</c:v>
                </c:pt>
                <c:pt idx="13">
                  <c:v>2.5240279279016096</c:v>
                </c:pt>
                <c:pt idx="14">
                  <c:v>1.761959954488904</c:v>
                </c:pt>
                <c:pt idx="15">
                  <c:v>1.5272329753713587</c:v>
                </c:pt>
                <c:pt idx="16">
                  <c:v>2.0620945319740502</c:v>
                </c:pt>
                <c:pt idx="17">
                  <c:v>1.1878670991496449</c:v>
                </c:pt>
                <c:pt idx="18">
                  <c:v>1.9236800836382646</c:v>
                </c:pt>
                <c:pt idx="19">
                  <c:v>2.7698863636363638</c:v>
                </c:pt>
                <c:pt idx="20">
                  <c:v>1.5872279634130504</c:v>
                </c:pt>
                <c:pt idx="21">
                  <c:v>0.94528867027561758</c:v>
                </c:pt>
                <c:pt idx="22">
                  <c:v>1.8492137911136757</c:v>
                </c:pt>
                <c:pt idx="23">
                  <c:v>2.9368690538742745</c:v>
                </c:pt>
                <c:pt idx="24">
                  <c:v>1.7334527489671512</c:v>
                </c:pt>
                <c:pt idx="25">
                  <c:v>1.0860776361154774</c:v>
                </c:pt>
                <c:pt idx="26">
                  <c:v>1.8685121107266436</c:v>
                </c:pt>
                <c:pt idx="27">
                  <c:v>2.383929885033313</c:v>
                </c:pt>
                <c:pt idx="28">
                  <c:v>2.6018308557991099</c:v>
                </c:pt>
                <c:pt idx="29">
                  <c:v>3.6628917058104369</c:v>
                </c:pt>
                <c:pt idx="30">
                  <c:v>3.4782199051537326</c:v>
                </c:pt>
                <c:pt idx="31">
                  <c:v>0.70331522757070608</c:v>
                </c:pt>
                <c:pt idx="32">
                  <c:v>3.3389825875406611</c:v>
                </c:pt>
                <c:pt idx="33">
                  <c:v>2.254987627306571</c:v>
                </c:pt>
                <c:pt idx="34">
                  <c:v>2.5844776042138502</c:v>
                </c:pt>
                <c:pt idx="35">
                  <c:v>2.9348785582562034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2-4A1F-8C13-903125E7B6F4}"/>
            </c:ext>
          </c:extLst>
        </c:ser>
        <c:ser>
          <c:idx val="1"/>
          <c:order val="1"/>
          <c:tx>
            <c:v>mALNS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(Sheet2!$C$4:$C$30,Sheet2!$C$32:$C$37,Sheet2!$C$40:$C$42)</c:f>
              <c:strCache>
                <c:ptCount val="36"/>
                <c:pt idx="0">
                  <c:v>A-n33-k5</c:v>
                </c:pt>
                <c:pt idx="1">
                  <c:v>A-n44-k6</c:v>
                </c:pt>
                <c:pt idx="2">
                  <c:v>A-n54-k7</c:v>
                </c:pt>
                <c:pt idx="3">
                  <c:v>A-n69-k9</c:v>
                </c:pt>
                <c:pt idx="4">
                  <c:v>A-n80-k10</c:v>
                </c:pt>
                <c:pt idx="5">
                  <c:v>M-n101-k10</c:v>
                </c:pt>
                <c:pt idx="6">
                  <c:v>M-n121-k7</c:v>
                </c:pt>
                <c:pt idx="7">
                  <c:v>M-n151-k12</c:v>
                </c:pt>
                <c:pt idx="8">
                  <c:v>M-n200-k16</c:v>
                </c:pt>
                <c:pt idx="9">
                  <c:v>X-n209-k16</c:v>
                </c:pt>
                <c:pt idx="10">
                  <c:v>X-n223-k34</c:v>
                </c:pt>
                <c:pt idx="11">
                  <c:v>X-n242-k48</c:v>
                </c:pt>
                <c:pt idx="12">
                  <c:v>X-n270-k35</c:v>
                </c:pt>
                <c:pt idx="13">
                  <c:v>X-n298-k31</c:v>
                </c:pt>
                <c:pt idx="14">
                  <c:v>X-n313-k71</c:v>
                </c:pt>
                <c:pt idx="15">
                  <c:v>X-n331-k15</c:v>
                </c:pt>
                <c:pt idx="16">
                  <c:v>X-n351-k40</c:v>
                </c:pt>
                <c:pt idx="17">
                  <c:v>X-n367-k17</c:v>
                </c:pt>
                <c:pt idx="18">
                  <c:v>X-n393-k38</c:v>
                </c:pt>
                <c:pt idx="19">
                  <c:v>X-n411-k19</c:v>
                </c:pt>
                <c:pt idx="20">
                  <c:v>X-n420-k130</c:v>
                </c:pt>
                <c:pt idx="21">
                  <c:v>X-n439-k37</c:v>
                </c:pt>
                <c:pt idx="22">
                  <c:v>X-n469-k138</c:v>
                </c:pt>
                <c:pt idx="23">
                  <c:v>X-n480-k70</c:v>
                </c:pt>
                <c:pt idx="24">
                  <c:v>X-n502-k39</c:v>
                </c:pt>
                <c:pt idx="25">
                  <c:v>X-n524-k153</c:v>
                </c:pt>
                <c:pt idx="26">
                  <c:v>X-n548-k50</c:v>
                </c:pt>
                <c:pt idx="27">
                  <c:v>X-n586-k159</c:v>
                </c:pt>
                <c:pt idx="28">
                  <c:v>X-n613-k62</c:v>
                </c:pt>
                <c:pt idx="29">
                  <c:v>X-n627-k43</c:v>
                </c:pt>
                <c:pt idx="30">
                  <c:v>X-n641-k35</c:v>
                </c:pt>
                <c:pt idx="31">
                  <c:v>X-n655-k131</c:v>
                </c:pt>
                <c:pt idx="32">
                  <c:v>X-n670-k130</c:v>
                </c:pt>
                <c:pt idx="33">
                  <c:v>X-n733-k159</c:v>
                </c:pt>
                <c:pt idx="34">
                  <c:v>X-n749-k98</c:v>
                </c:pt>
                <c:pt idx="35">
                  <c:v>X-n766-k71</c:v>
                </c:pt>
              </c:strCache>
            </c:strRef>
          </c:cat>
          <c:val>
            <c:numRef>
              <c:f>(Sheet2!$M$4:$M$30,Sheet2!$M$32:$M$37,Sheet2!$M$40:$M$42)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0.43140638481449528</c:v>
                </c:pt>
                <c:pt idx="4">
                  <c:v>0.85082246171298925</c:v>
                </c:pt>
                <c:pt idx="5">
                  <c:v>0</c:v>
                </c:pt>
                <c:pt idx="6">
                  <c:v>0</c:v>
                </c:pt>
                <c:pt idx="7">
                  <c:v>0.98522167487684731</c:v>
                </c:pt>
                <c:pt idx="8">
                  <c:v>1.8838304552590266</c:v>
                </c:pt>
                <c:pt idx="9">
                  <c:v>1.0764613778705636</c:v>
                </c:pt>
                <c:pt idx="10">
                  <c:v>1.1128421989761852</c:v>
                </c:pt>
                <c:pt idx="11">
                  <c:v>1.3570832980870322</c:v>
                </c:pt>
                <c:pt idx="12">
                  <c:v>1.2241081295514438</c:v>
                </c:pt>
                <c:pt idx="13">
                  <c:v>2.3516695393064766</c:v>
                </c:pt>
                <c:pt idx="14">
                  <c:v>1.7491998341184352</c:v>
                </c:pt>
                <c:pt idx="15">
                  <c:v>1.5497395665873577</c:v>
                </c:pt>
                <c:pt idx="16">
                  <c:v>2.0814025332097623</c:v>
                </c:pt>
                <c:pt idx="17">
                  <c:v>1.2667660208643816</c:v>
                </c:pt>
                <c:pt idx="18">
                  <c:v>1.693674856246733</c:v>
                </c:pt>
                <c:pt idx="19">
                  <c:v>2.7546672077922079</c:v>
                </c:pt>
                <c:pt idx="20">
                  <c:v>1.6679344700272731</c:v>
                </c:pt>
                <c:pt idx="21">
                  <c:v>1.0552059575169686</c:v>
                </c:pt>
                <c:pt idx="22">
                  <c:v>2.1314195037507213</c:v>
                </c:pt>
                <c:pt idx="23">
                  <c:v>2.7434627553130833</c:v>
                </c:pt>
                <c:pt idx="24">
                  <c:v>1.8519053534799064</c:v>
                </c:pt>
                <c:pt idx="25">
                  <c:v>0.9327718590104338</c:v>
                </c:pt>
                <c:pt idx="26">
                  <c:v>1.895040369088812</c:v>
                </c:pt>
                <c:pt idx="27">
                  <c:v>2.0056117194560628</c:v>
                </c:pt>
                <c:pt idx="28">
                  <c:v>2.914252120601327</c:v>
                </c:pt>
                <c:pt idx="29">
                  <c:v>3.28164210797246</c:v>
                </c:pt>
                <c:pt idx="30">
                  <c:v>3.1500266951414844</c:v>
                </c:pt>
                <c:pt idx="31">
                  <c:v>0.57126802772054697</c:v>
                </c:pt>
                <c:pt idx="32">
                  <c:v>2.9884099171746441</c:v>
                </c:pt>
                <c:pt idx="33">
                  <c:v>2.2542533428300793</c:v>
                </c:pt>
                <c:pt idx="34">
                  <c:v>2.5624765429861913</c:v>
                </c:pt>
                <c:pt idx="35">
                  <c:v>2.9051626943548601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2-4A1F-8C13-903125E7B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5776"/>
        <c:axId val="1085833376"/>
      </c:lineChart>
      <c:catAx>
        <c:axId val="10858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3376"/>
        <c:crosses val="autoZero"/>
        <c:auto val="1"/>
        <c:lblAlgn val="ctr"/>
        <c:lblOffset val="100"/>
        <c:noMultiLvlLbl val="0"/>
      </c:catAx>
      <c:valAx>
        <c:axId val="10858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10</xdr:row>
      <xdr:rowOff>121920</xdr:rowOff>
    </xdr:from>
    <xdr:to>
      <xdr:col>23</xdr:col>
      <xdr:colOff>294640</xdr:colOff>
      <xdr:row>29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0626D-903F-5451-0DD3-AA147AF87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0"/>
  <sheetViews>
    <sheetView topLeftCell="J1" zoomScale="79" workbookViewId="0">
      <selection activeCell="X42" sqref="X42"/>
    </sheetView>
  </sheetViews>
  <sheetFormatPr defaultRowHeight="14.4" x14ac:dyDescent="0.3"/>
  <cols>
    <col min="2" max="2" width="12.6640625" customWidth="1"/>
    <col min="3" max="3" width="13.44140625" customWidth="1"/>
    <col min="4" max="4" width="11" customWidth="1"/>
    <col min="5" max="5" width="14.109375" customWidth="1"/>
    <col min="18" max="19" width="11.6640625" customWidth="1"/>
  </cols>
  <sheetData>
    <row r="1" spans="1:34" x14ac:dyDescent="0.3">
      <c r="A1" t="s">
        <v>0</v>
      </c>
      <c r="B1">
        <v>15</v>
      </c>
      <c r="C1">
        <v>10</v>
      </c>
      <c r="D1">
        <v>3</v>
      </c>
      <c r="N1" t="s">
        <v>35</v>
      </c>
      <c r="O1" t="s">
        <v>36</v>
      </c>
      <c r="P1" t="s">
        <v>47</v>
      </c>
      <c r="Q1" s="7" t="s">
        <v>49</v>
      </c>
      <c r="R1" s="7" t="s">
        <v>48</v>
      </c>
      <c r="S1" s="7" t="s">
        <v>48</v>
      </c>
      <c r="T1" t="s">
        <v>50</v>
      </c>
      <c r="U1">
        <v>30</v>
      </c>
      <c r="V1">
        <v>20</v>
      </c>
      <c r="W1">
        <v>5</v>
      </c>
      <c r="AF1" t="s">
        <v>37</v>
      </c>
      <c r="AG1" t="s">
        <v>36</v>
      </c>
      <c r="AH1" t="s">
        <v>47</v>
      </c>
    </row>
    <row r="2" spans="1:34" x14ac:dyDescent="0.3">
      <c r="A2" t="s">
        <v>9</v>
      </c>
      <c r="B2" t="s">
        <v>1</v>
      </c>
      <c r="C2" t="s">
        <v>2</v>
      </c>
      <c r="D2">
        <v>1234</v>
      </c>
      <c r="E2">
        <v>1729</v>
      </c>
      <c r="F2">
        <v>2310</v>
      </c>
      <c r="G2">
        <v>3103</v>
      </c>
      <c r="H2">
        <v>9999</v>
      </c>
      <c r="I2">
        <v>4200</v>
      </c>
      <c r="J2">
        <v>5544</v>
      </c>
      <c r="K2">
        <v>7788</v>
      </c>
      <c r="L2">
        <v>8080</v>
      </c>
      <c r="M2">
        <v>6000</v>
      </c>
      <c r="Q2" s="7"/>
      <c r="R2" s="7"/>
      <c r="S2" s="7"/>
      <c r="T2" t="s">
        <v>1</v>
      </c>
      <c r="U2" t="s">
        <v>2</v>
      </c>
      <c r="V2">
        <v>1234</v>
      </c>
      <c r="W2">
        <v>1729</v>
      </c>
      <c r="X2">
        <v>2310</v>
      </c>
      <c r="Y2">
        <v>3103</v>
      </c>
      <c r="Z2">
        <v>9999</v>
      </c>
      <c r="AA2">
        <v>4200</v>
      </c>
      <c r="AB2">
        <v>5544</v>
      </c>
      <c r="AC2">
        <v>7788</v>
      </c>
      <c r="AD2">
        <v>8080</v>
      </c>
      <c r="AE2">
        <v>6000</v>
      </c>
    </row>
    <row r="3" spans="1:34" x14ac:dyDescent="0.3">
      <c r="A3">
        <v>1</v>
      </c>
      <c r="B3" t="s">
        <v>46</v>
      </c>
      <c r="C3">
        <v>703</v>
      </c>
      <c r="D3">
        <v>661</v>
      </c>
      <c r="E3">
        <v>661</v>
      </c>
      <c r="F3">
        <v>661</v>
      </c>
      <c r="G3">
        <v>661</v>
      </c>
      <c r="H3">
        <v>661</v>
      </c>
      <c r="I3">
        <v>661</v>
      </c>
      <c r="J3">
        <v>661</v>
      </c>
      <c r="K3">
        <v>661</v>
      </c>
      <c r="L3">
        <v>661</v>
      </c>
      <c r="M3">
        <v>661</v>
      </c>
      <c r="N3" s="5">
        <f t="shared" ref="N3:N11" si="0">MIN(D3:M3)</f>
        <v>661</v>
      </c>
      <c r="O3" s="5">
        <f t="shared" ref="O3:O11" si="1">AVERAGE(D3:M3)</f>
        <v>661</v>
      </c>
      <c r="P3" s="5">
        <f>MAX(D3:M3)</f>
        <v>661</v>
      </c>
      <c r="Q3" s="7">
        <f t="shared" ref="Q3:R11" si="2">IF(N3&lt;AF3,1,0)</f>
        <v>0</v>
      </c>
      <c r="R3" s="7">
        <f t="shared" si="2"/>
        <v>0</v>
      </c>
      <c r="S3" s="7">
        <f>IF(P3&lt;AH3,1,0)</f>
        <v>0</v>
      </c>
      <c r="T3" t="s">
        <v>46</v>
      </c>
      <c r="U3">
        <v>703</v>
      </c>
      <c r="V3">
        <v>661</v>
      </c>
      <c r="W3">
        <v>661</v>
      </c>
      <c r="X3">
        <v>661</v>
      </c>
      <c r="Y3">
        <v>661</v>
      </c>
      <c r="Z3">
        <v>661</v>
      </c>
      <c r="AA3">
        <v>661</v>
      </c>
      <c r="AB3">
        <v>661</v>
      </c>
      <c r="AC3">
        <v>661</v>
      </c>
      <c r="AD3">
        <v>661</v>
      </c>
      <c r="AE3">
        <v>661</v>
      </c>
      <c r="AF3">
        <f t="shared" ref="AF3:AF41" si="3">MIN(V3:AE3)</f>
        <v>661</v>
      </c>
      <c r="AG3">
        <f t="shared" ref="AG3:AG41" si="4">AVERAGE(V3:AE3)</f>
        <v>661</v>
      </c>
      <c r="AH3">
        <f>MAX(V3:AE3)</f>
        <v>661</v>
      </c>
    </row>
    <row r="4" spans="1:34" x14ac:dyDescent="0.3">
      <c r="A4">
        <v>2</v>
      </c>
      <c r="B4" t="s">
        <v>45</v>
      </c>
      <c r="C4">
        <v>974</v>
      </c>
      <c r="D4">
        <v>937</v>
      </c>
      <c r="E4">
        <v>939</v>
      </c>
      <c r="F4">
        <v>937</v>
      </c>
      <c r="G4">
        <v>939</v>
      </c>
      <c r="H4">
        <v>939</v>
      </c>
      <c r="I4">
        <v>937</v>
      </c>
      <c r="J4">
        <v>937</v>
      </c>
      <c r="K4">
        <v>937</v>
      </c>
      <c r="L4">
        <v>937</v>
      </c>
      <c r="M4">
        <v>937</v>
      </c>
      <c r="N4" s="5">
        <f t="shared" si="0"/>
        <v>937</v>
      </c>
      <c r="O4" s="6">
        <f t="shared" si="1"/>
        <v>937.6</v>
      </c>
      <c r="P4" s="5">
        <f t="shared" ref="P4:P41" si="5">MAX(D4:M4)</f>
        <v>939</v>
      </c>
      <c r="Q4" s="7">
        <f t="shared" si="2"/>
        <v>0</v>
      </c>
      <c r="R4" s="7">
        <f t="shared" si="2"/>
        <v>0</v>
      </c>
      <c r="S4" s="7">
        <f t="shared" ref="S4:S41" si="6">IF(P4&lt;AH4,1,0)</f>
        <v>0</v>
      </c>
      <c r="T4" t="s">
        <v>45</v>
      </c>
      <c r="U4">
        <v>974</v>
      </c>
      <c r="V4">
        <v>937</v>
      </c>
      <c r="W4">
        <v>937</v>
      </c>
      <c r="X4">
        <v>937</v>
      </c>
      <c r="Y4">
        <v>939</v>
      </c>
      <c r="Z4">
        <v>937</v>
      </c>
      <c r="AA4">
        <v>937</v>
      </c>
      <c r="AB4">
        <v>937</v>
      </c>
      <c r="AC4">
        <v>937</v>
      </c>
      <c r="AD4">
        <v>939</v>
      </c>
      <c r="AE4">
        <v>937</v>
      </c>
      <c r="AF4">
        <f t="shared" si="3"/>
        <v>937</v>
      </c>
      <c r="AG4">
        <f t="shared" si="4"/>
        <v>937.4</v>
      </c>
      <c r="AH4">
        <f t="shared" ref="AH4:AH41" si="7">MAX(V4:AE4)</f>
        <v>939</v>
      </c>
    </row>
    <row r="5" spans="1:34" x14ac:dyDescent="0.3">
      <c r="A5">
        <v>3</v>
      </c>
      <c r="B5" t="s">
        <v>44</v>
      </c>
      <c r="C5">
        <v>1183</v>
      </c>
      <c r="D5">
        <v>1167</v>
      </c>
      <c r="E5">
        <v>1167</v>
      </c>
      <c r="F5">
        <v>1172</v>
      </c>
      <c r="G5">
        <v>1167</v>
      </c>
      <c r="H5">
        <v>1167</v>
      </c>
      <c r="I5">
        <v>1167</v>
      </c>
      <c r="J5">
        <v>1167</v>
      </c>
      <c r="K5">
        <v>1181</v>
      </c>
      <c r="L5">
        <v>1167</v>
      </c>
      <c r="M5">
        <v>1167</v>
      </c>
      <c r="N5" s="5">
        <f t="shared" si="0"/>
        <v>1167</v>
      </c>
      <c r="O5" s="6">
        <f t="shared" si="1"/>
        <v>1168.9000000000001</v>
      </c>
      <c r="P5" s="6">
        <f t="shared" si="5"/>
        <v>1181</v>
      </c>
      <c r="Q5" s="7">
        <f t="shared" si="2"/>
        <v>0</v>
      </c>
      <c r="R5" s="7">
        <f t="shared" si="2"/>
        <v>0</v>
      </c>
      <c r="S5" s="7">
        <f t="shared" si="6"/>
        <v>0</v>
      </c>
      <c r="T5" t="s">
        <v>44</v>
      </c>
      <c r="U5">
        <v>1183</v>
      </c>
      <c r="V5">
        <v>1167</v>
      </c>
      <c r="W5">
        <v>1172</v>
      </c>
      <c r="X5">
        <v>1167</v>
      </c>
      <c r="Y5">
        <v>1172</v>
      </c>
      <c r="Z5">
        <v>1167</v>
      </c>
      <c r="AA5">
        <v>1167</v>
      </c>
      <c r="AB5">
        <v>1172</v>
      </c>
      <c r="AC5">
        <v>1167</v>
      </c>
      <c r="AD5">
        <v>1167</v>
      </c>
      <c r="AE5">
        <v>1167</v>
      </c>
      <c r="AF5">
        <f t="shared" si="3"/>
        <v>1167</v>
      </c>
      <c r="AG5">
        <f t="shared" si="4"/>
        <v>1168.5</v>
      </c>
      <c r="AH5">
        <f t="shared" si="7"/>
        <v>1172</v>
      </c>
    </row>
    <row r="6" spans="1:34" x14ac:dyDescent="0.3">
      <c r="A6">
        <v>4</v>
      </c>
      <c r="B6" t="s">
        <v>43</v>
      </c>
      <c r="C6">
        <v>1182</v>
      </c>
      <c r="D6">
        <v>1164</v>
      </c>
      <c r="E6">
        <v>1165</v>
      </c>
      <c r="F6">
        <v>1164</v>
      </c>
      <c r="G6">
        <v>1164</v>
      </c>
      <c r="H6">
        <v>1165</v>
      </c>
      <c r="I6">
        <v>1165</v>
      </c>
      <c r="J6">
        <v>1165</v>
      </c>
      <c r="K6">
        <v>1164</v>
      </c>
      <c r="L6">
        <v>1164</v>
      </c>
      <c r="M6">
        <v>1165</v>
      </c>
      <c r="N6" s="5">
        <f t="shared" si="0"/>
        <v>1164</v>
      </c>
      <c r="O6" s="6">
        <f t="shared" si="1"/>
        <v>1164.5</v>
      </c>
      <c r="P6" s="5">
        <f t="shared" si="5"/>
        <v>1165</v>
      </c>
      <c r="Q6" s="7">
        <f t="shared" si="2"/>
        <v>0</v>
      </c>
      <c r="R6" s="7">
        <f t="shared" si="2"/>
        <v>0</v>
      </c>
      <c r="S6" s="7">
        <f t="shared" si="6"/>
        <v>0</v>
      </c>
      <c r="T6" t="s">
        <v>43</v>
      </c>
      <c r="U6">
        <v>1182</v>
      </c>
      <c r="V6">
        <v>1164</v>
      </c>
      <c r="W6">
        <v>1164</v>
      </c>
      <c r="X6">
        <v>1164</v>
      </c>
      <c r="Y6">
        <v>1164</v>
      </c>
      <c r="Z6">
        <v>1165</v>
      </c>
      <c r="AA6">
        <v>1165</v>
      </c>
      <c r="AB6">
        <v>1165</v>
      </c>
      <c r="AC6">
        <v>1164</v>
      </c>
      <c r="AD6">
        <v>1165</v>
      </c>
      <c r="AE6">
        <v>1164</v>
      </c>
      <c r="AF6">
        <f t="shared" si="3"/>
        <v>1164</v>
      </c>
      <c r="AG6">
        <f t="shared" si="4"/>
        <v>1164.4000000000001</v>
      </c>
      <c r="AH6">
        <f t="shared" si="7"/>
        <v>1165</v>
      </c>
    </row>
    <row r="7" spans="1:34" x14ac:dyDescent="0.3">
      <c r="A7">
        <v>5</v>
      </c>
      <c r="B7" t="s">
        <v>42</v>
      </c>
      <c r="C7">
        <v>1815</v>
      </c>
      <c r="D7">
        <v>1798</v>
      </c>
      <c r="E7">
        <v>1798</v>
      </c>
      <c r="F7">
        <v>1798</v>
      </c>
      <c r="G7">
        <v>1783</v>
      </c>
      <c r="H7">
        <v>1795</v>
      </c>
      <c r="I7">
        <v>1798</v>
      </c>
      <c r="J7">
        <v>1791</v>
      </c>
      <c r="K7">
        <v>1804</v>
      </c>
      <c r="L7">
        <v>1798</v>
      </c>
      <c r="M7">
        <v>1785</v>
      </c>
      <c r="N7" s="6">
        <f t="shared" si="0"/>
        <v>1783</v>
      </c>
      <c r="O7" s="6">
        <f t="shared" si="1"/>
        <v>1794.8</v>
      </c>
      <c r="P7" s="4">
        <f t="shared" si="5"/>
        <v>1804</v>
      </c>
      <c r="Q7" s="7">
        <f t="shared" si="2"/>
        <v>0</v>
      </c>
      <c r="R7" s="7">
        <f t="shared" si="2"/>
        <v>0</v>
      </c>
      <c r="S7" s="7">
        <f t="shared" si="6"/>
        <v>1</v>
      </c>
      <c r="T7" t="s">
        <v>42</v>
      </c>
      <c r="U7">
        <v>1815</v>
      </c>
      <c r="V7">
        <v>1785</v>
      </c>
      <c r="W7">
        <v>1780</v>
      </c>
      <c r="X7">
        <v>1798</v>
      </c>
      <c r="Y7">
        <v>1794</v>
      </c>
      <c r="Z7">
        <v>1796</v>
      </c>
      <c r="AA7">
        <v>1795</v>
      </c>
      <c r="AB7">
        <v>1795</v>
      </c>
      <c r="AC7">
        <v>1813</v>
      </c>
      <c r="AD7">
        <v>1778</v>
      </c>
      <c r="AE7">
        <v>1798</v>
      </c>
      <c r="AF7">
        <f t="shared" si="3"/>
        <v>1778</v>
      </c>
      <c r="AG7">
        <f t="shared" si="4"/>
        <v>1793.2</v>
      </c>
      <c r="AH7">
        <f t="shared" si="7"/>
        <v>1813</v>
      </c>
    </row>
    <row r="8" spans="1:34" x14ac:dyDescent="0.3">
      <c r="A8">
        <v>6</v>
      </c>
      <c r="B8" t="s">
        <v>41</v>
      </c>
      <c r="C8">
        <v>833</v>
      </c>
      <c r="D8">
        <v>820</v>
      </c>
      <c r="E8">
        <v>820</v>
      </c>
      <c r="F8">
        <v>820</v>
      </c>
      <c r="G8">
        <v>820</v>
      </c>
      <c r="H8">
        <v>820</v>
      </c>
      <c r="I8">
        <v>820</v>
      </c>
      <c r="J8">
        <v>820</v>
      </c>
      <c r="K8">
        <v>820</v>
      </c>
      <c r="L8">
        <v>820</v>
      </c>
      <c r="M8">
        <v>820</v>
      </c>
      <c r="N8" s="5">
        <f t="shared" si="0"/>
        <v>820</v>
      </c>
      <c r="O8" s="5">
        <f t="shared" si="1"/>
        <v>820</v>
      </c>
      <c r="P8" s="5">
        <f t="shared" si="5"/>
        <v>820</v>
      </c>
      <c r="Q8" s="7">
        <f t="shared" si="2"/>
        <v>0</v>
      </c>
      <c r="R8" s="7">
        <f t="shared" si="2"/>
        <v>0</v>
      </c>
      <c r="S8" s="7">
        <f t="shared" si="6"/>
        <v>0</v>
      </c>
      <c r="T8" t="s">
        <v>41</v>
      </c>
      <c r="U8">
        <v>833</v>
      </c>
      <c r="V8">
        <v>820</v>
      </c>
      <c r="W8">
        <v>820</v>
      </c>
      <c r="X8">
        <v>820</v>
      </c>
      <c r="Y8">
        <v>820</v>
      </c>
      <c r="Z8">
        <v>820</v>
      </c>
      <c r="AA8">
        <v>820</v>
      </c>
      <c r="AB8">
        <v>820</v>
      </c>
      <c r="AC8">
        <v>820</v>
      </c>
      <c r="AD8">
        <v>820</v>
      </c>
      <c r="AE8">
        <v>820</v>
      </c>
      <c r="AF8">
        <f t="shared" si="3"/>
        <v>820</v>
      </c>
      <c r="AG8">
        <f t="shared" si="4"/>
        <v>820</v>
      </c>
      <c r="AH8">
        <f t="shared" si="7"/>
        <v>820</v>
      </c>
    </row>
    <row r="9" spans="1:34" x14ac:dyDescent="0.3">
      <c r="A9">
        <v>7</v>
      </c>
      <c r="B9" t="s">
        <v>40</v>
      </c>
      <c r="C9">
        <v>1050</v>
      </c>
      <c r="D9">
        <v>1034</v>
      </c>
      <c r="E9">
        <v>1034</v>
      </c>
      <c r="F9">
        <v>1034</v>
      </c>
      <c r="G9">
        <v>1034</v>
      </c>
      <c r="H9">
        <v>1034</v>
      </c>
      <c r="I9">
        <v>1034</v>
      </c>
      <c r="J9">
        <v>1034</v>
      </c>
      <c r="K9">
        <v>1035</v>
      </c>
      <c r="L9">
        <v>1034</v>
      </c>
      <c r="M9">
        <v>1034</v>
      </c>
      <c r="N9" s="5">
        <f t="shared" si="0"/>
        <v>1034</v>
      </c>
      <c r="O9" s="5">
        <f t="shared" si="1"/>
        <v>1034.0999999999999</v>
      </c>
      <c r="P9" s="5">
        <f t="shared" si="5"/>
        <v>1035</v>
      </c>
      <c r="Q9" s="7">
        <f t="shared" si="2"/>
        <v>0</v>
      </c>
      <c r="R9" s="7">
        <f t="shared" si="2"/>
        <v>0</v>
      </c>
      <c r="S9" s="7">
        <f t="shared" si="6"/>
        <v>0</v>
      </c>
      <c r="T9" t="s">
        <v>40</v>
      </c>
      <c r="U9">
        <v>1050</v>
      </c>
      <c r="V9">
        <v>1034</v>
      </c>
      <c r="W9">
        <v>1034</v>
      </c>
      <c r="X9">
        <v>1034</v>
      </c>
      <c r="Y9">
        <v>1035</v>
      </c>
      <c r="Z9">
        <v>1034</v>
      </c>
      <c r="AA9">
        <v>1034</v>
      </c>
      <c r="AB9">
        <v>1034</v>
      </c>
      <c r="AC9">
        <v>1034</v>
      </c>
      <c r="AD9">
        <v>1034</v>
      </c>
      <c r="AE9">
        <v>1034</v>
      </c>
      <c r="AF9">
        <f t="shared" si="3"/>
        <v>1034</v>
      </c>
      <c r="AG9">
        <f t="shared" si="4"/>
        <v>1034.0999999999999</v>
      </c>
      <c r="AH9">
        <f t="shared" si="7"/>
        <v>1035</v>
      </c>
    </row>
    <row r="10" spans="1:34" x14ac:dyDescent="0.3">
      <c r="A10">
        <v>8</v>
      </c>
      <c r="B10" t="s">
        <v>39</v>
      </c>
      <c r="C10">
        <v>1103</v>
      </c>
      <c r="D10">
        <v>1030</v>
      </c>
      <c r="E10">
        <v>1029</v>
      </c>
      <c r="F10">
        <v>1033</v>
      </c>
      <c r="G10">
        <v>1045</v>
      </c>
      <c r="H10">
        <v>1048</v>
      </c>
      <c r="I10">
        <v>1043</v>
      </c>
      <c r="J10">
        <v>1032</v>
      </c>
      <c r="K10">
        <v>1034</v>
      </c>
      <c r="L10">
        <v>1028</v>
      </c>
      <c r="M10">
        <v>1025</v>
      </c>
      <c r="N10" s="5">
        <f t="shared" si="0"/>
        <v>1025</v>
      </c>
      <c r="O10" s="6">
        <f t="shared" si="1"/>
        <v>1034.7</v>
      </c>
      <c r="P10" s="6">
        <f t="shared" si="5"/>
        <v>1048</v>
      </c>
      <c r="Q10" s="7">
        <f t="shared" si="2"/>
        <v>0</v>
      </c>
      <c r="R10" s="7">
        <f t="shared" si="2"/>
        <v>0</v>
      </c>
      <c r="S10" s="7">
        <f t="shared" si="6"/>
        <v>0</v>
      </c>
      <c r="T10" t="s">
        <v>39</v>
      </c>
      <c r="U10">
        <v>1103</v>
      </c>
      <c r="V10">
        <v>1031</v>
      </c>
      <c r="W10">
        <v>1027</v>
      </c>
      <c r="X10">
        <v>1027</v>
      </c>
      <c r="Y10">
        <v>1033</v>
      </c>
      <c r="Z10">
        <v>1028</v>
      </c>
      <c r="AA10">
        <v>1029</v>
      </c>
      <c r="AB10">
        <v>1031</v>
      </c>
      <c r="AC10">
        <v>1030</v>
      </c>
      <c r="AD10">
        <v>1033</v>
      </c>
      <c r="AE10">
        <v>1025</v>
      </c>
      <c r="AF10">
        <f t="shared" si="3"/>
        <v>1025</v>
      </c>
      <c r="AG10">
        <f t="shared" si="4"/>
        <v>1029.4000000000001</v>
      </c>
      <c r="AH10">
        <f t="shared" si="7"/>
        <v>1033</v>
      </c>
    </row>
    <row r="11" spans="1:34" x14ac:dyDescent="0.3">
      <c r="A11">
        <v>9</v>
      </c>
      <c r="B11" t="s">
        <v>38</v>
      </c>
      <c r="C11">
        <v>1408</v>
      </c>
      <c r="D11">
        <v>1308</v>
      </c>
      <c r="E11">
        <v>1315</v>
      </c>
      <c r="F11">
        <v>1307</v>
      </c>
      <c r="G11">
        <v>1307</v>
      </c>
      <c r="H11">
        <v>1310</v>
      </c>
      <c r="I11">
        <v>1303</v>
      </c>
      <c r="J11">
        <v>1298</v>
      </c>
      <c r="K11">
        <v>1297</v>
      </c>
      <c r="L11">
        <v>1308</v>
      </c>
      <c r="M11">
        <v>1311</v>
      </c>
      <c r="N11" s="4">
        <f t="shared" si="0"/>
        <v>1297</v>
      </c>
      <c r="O11" s="4">
        <f t="shared" si="1"/>
        <v>1306.4000000000001</v>
      </c>
      <c r="P11" s="4">
        <f t="shared" si="5"/>
        <v>1315</v>
      </c>
      <c r="Q11" s="7">
        <f t="shared" si="2"/>
        <v>1</v>
      </c>
      <c r="R11" s="7">
        <f t="shared" si="2"/>
        <v>1</v>
      </c>
      <c r="S11" s="7">
        <f t="shared" si="6"/>
        <v>1</v>
      </c>
      <c r="T11" t="s">
        <v>38</v>
      </c>
      <c r="U11">
        <v>1408</v>
      </c>
      <c r="V11">
        <v>1309</v>
      </c>
      <c r="W11">
        <v>1311</v>
      </c>
      <c r="X11">
        <v>1304</v>
      </c>
      <c r="Y11">
        <v>1306</v>
      </c>
      <c r="Z11">
        <v>1313</v>
      </c>
      <c r="AA11">
        <v>1321</v>
      </c>
      <c r="AB11">
        <v>1298</v>
      </c>
      <c r="AC11">
        <v>1309</v>
      </c>
      <c r="AD11">
        <v>1299</v>
      </c>
      <c r="AE11">
        <v>1302</v>
      </c>
      <c r="AF11">
        <f t="shared" si="3"/>
        <v>1298</v>
      </c>
      <c r="AG11">
        <f t="shared" si="4"/>
        <v>1307.2</v>
      </c>
      <c r="AH11">
        <f t="shared" si="7"/>
        <v>1321</v>
      </c>
    </row>
    <row r="12" spans="1:34" x14ac:dyDescent="0.3">
      <c r="A12">
        <v>10</v>
      </c>
      <c r="B12" t="s">
        <v>10</v>
      </c>
      <c r="C12">
        <v>32509</v>
      </c>
      <c r="D12">
        <v>31219</v>
      </c>
      <c r="E12">
        <v>31020</v>
      </c>
      <c r="F12">
        <v>31235</v>
      </c>
      <c r="G12">
        <v>31258</v>
      </c>
      <c r="H12">
        <v>31085</v>
      </c>
      <c r="I12">
        <v>31405</v>
      </c>
      <c r="J12">
        <v>30863</v>
      </c>
      <c r="K12">
        <v>31265</v>
      </c>
      <c r="L12">
        <v>31208</v>
      </c>
      <c r="M12">
        <v>31119</v>
      </c>
      <c r="N12" s="4">
        <f>MIN(D12:M12)</f>
        <v>30863</v>
      </c>
      <c r="O12" s="4">
        <f>AVERAGE(D12:M12)</f>
        <v>31167.7</v>
      </c>
      <c r="P12" s="4">
        <f t="shared" si="5"/>
        <v>31405</v>
      </c>
      <c r="Q12" s="7">
        <f t="shared" ref="Q12:Q41" si="8">IF(N12&lt;AF12,1,0)</f>
        <v>1</v>
      </c>
      <c r="R12" s="7">
        <f t="shared" ref="R12:R41" si="9">IF(O12&lt;AG12,1,0)</f>
        <v>1</v>
      </c>
      <c r="S12" s="7">
        <f t="shared" si="6"/>
        <v>1</v>
      </c>
      <c r="T12" t="s">
        <v>10</v>
      </c>
      <c r="U12">
        <v>32509</v>
      </c>
      <c r="V12">
        <v>30986</v>
      </c>
      <c r="W12">
        <v>31371</v>
      </c>
      <c r="X12">
        <v>31010</v>
      </c>
      <c r="Y12">
        <v>31167</v>
      </c>
      <c r="Z12">
        <v>31297</v>
      </c>
      <c r="AA12">
        <v>31257</v>
      </c>
      <c r="AB12">
        <v>31560</v>
      </c>
      <c r="AC12">
        <v>31290</v>
      </c>
      <c r="AD12">
        <v>31201</v>
      </c>
      <c r="AE12">
        <v>31227</v>
      </c>
      <c r="AF12">
        <f t="shared" si="3"/>
        <v>30986</v>
      </c>
      <c r="AG12">
        <f t="shared" si="4"/>
        <v>31236.6</v>
      </c>
      <c r="AH12">
        <f t="shared" si="7"/>
        <v>31560</v>
      </c>
    </row>
    <row r="13" spans="1:34" x14ac:dyDescent="0.3">
      <c r="A13">
        <v>11</v>
      </c>
      <c r="B13" t="s">
        <v>11</v>
      </c>
      <c r="C13">
        <v>42365</v>
      </c>
      <c r="D13">
        <v>40899</v>
      </c>
      <c r="E13">
        <v>41241</v>
      </c>
      <c r="F13">
        <v>40780</v>
      </c>
      <c r="G13">
        <v>41226</v>
      </c>
      <c r="H13">
        <v>40834</v>
      </c>
      <c r="I13">
        <v>41005</v>
      </c>
      <c r="J13">
        <v>40964</v>
      </c>
      <c r="K13">
        <v>41061</v>
      </c>
      <c r="L13">
        <v>41060</v>
      </c>
      <c r="M13">
        <v>41136</v>
      </c>
      <c r="N13" s="4">
        <f t="shared" ref="N13:N41" si="10">MIN(D13:M13)</f>
        <v>40780</v>
      </c>
      <c r="O13" s="4">
        <f t="shared" ref="O13:O41" si="11">AVERAGE(D13:M13)</f>
        <v>41020.6</v>
      </c>
      <c r="P13" s="4">
        <f t="shared" si="5"/>
        <v>41241</v>
      </c>
      <c r="Q13" s="7">
        <f t="shared" si="8"/>
        <v>1</v>
      </c>
      <c r="R13" s="7">
        <f t="shared" si="9"/>
        <v>1</v>
      </c>
      <c r="S13" s="7">
        <f t="shared" si="6"/>
        <v>1</v>
      </c>
      <c r="T13" t="s">
        <v>11</v>
      </c>
      <c r="U13">
        <v>42365</v>
      </c>
      <c r="V13">
        <v>41208</v>
      </c>
      <c r="W13">
        <v>41050</v>
      </c>
      <c r="X13">
        <v>41083</v>
      </c>
      <c r="Y13">
        <v>41095</v>
      </c>
      <c r="Z13">
        <v>41029</v>
      </c>
      <c r="AA13">
        <v>41208</v>
      </c>
      <c r="AB13">
        <v>41145</v>
      </c>
      <c r="AC13">
        <v>40887</v>
      </c>
      <c r="AD13">
        <v>41257</v>
      </c>
      <c r="AE13">
        <v>41286</v>
      </c>
      <c r="AF13">
        <f t="shared" si="3"/>
        <v>40887</v>
      </c>
      <c r="AG13">
        <f t="shared" si="4"/>
        <v>41124.800000000003</v>
      </c>
      <c r="AH13">
        <f t="shared" si="7"/>
        <v>41286</v>
      </c>
    </row>
    <row r="14" spans="1:34" x14ac:dyDescent="0.3">
      <c r="A14">
        <v>12</v>
      </c>
      <c r="B14" t="s">
        <v>12</v>
      </c>
      <c r="C14">
        <v>85355</v>
      </c>
      <c r="D14">
        <v>84436</v>
      </c>
      <c r="E14">
        <v>83793</v>
      </c>
      <c r="F14">
        <v>84198</v>
      </c>
      <c r="G14">
        <v>84121</v>
      </c>
      <c r="H14">
        <v>84507</v>
      </c>
      <c r="I14">
        <v>83928</v>
      </c>
      <c r="J14">
        <v>83894</v>
      </c>
      <c r="K14">
        <v>83980</v>
      </c>
      <c r="L14">
        <v>83904</v>
      </c>
      <c r="M14">
        <v>84431</v>
      </c>
      <c r="N14" s="4">
        <f t="shared" si="10"/>
        <v>83793</v>
      </c>
      <c r="O14" s="4">
        <f t="shared" si="11"/>
        <v>84119.2</v>
      </c>
      <c r="P14" s="4">
        <f t="shared" si="5"/>
        <v>84507</v>
      </c>
      <c r="Q14" s="7">
        <f t="shared" si="8"/>
        <v>1</v>
      </c>
      <c r="R14" s="7">
        <f t="shared" si="9"/>
        <v>1</v>
      </c>
      <c r="S14" s="7">
        <f t="shared" si="6"/>
        <v>1</v>
      </c>
      <c r="T14" t="s">
        <v>12</v>
      </c>
      <c r="U14">
        <v>85355</v>
      </c>
      <c r="V14">
        <v>84411</v>
      </c>
      <c r="W14">
        <v>84188</v>
      </c>
      <c r="X14">
        <v>84244</v>
      </c>
      <c r="Y14">
        <v>84311</v>
      </c>
      <c r="Z14">
        <v>84341</v>
      </c>
      <c r="AA14">
        <v>83874</v>
      </c>
      <c r="AB14">
        <v>84286</v>
      </c>
      <c r="AC14">
        <v>84644</v>
      </c>
      <c r="AD14">
        <v>84160</v>
      </c>
      <c r="AE14">
        <v>84065</v>
      </c>
      <c r="AF14">
        <f t="shared" si="3"/>
        <v>83874</v>
      </c>
      <c r="AG14">
        <f t="shared" si="4"/>
        <v>84252.4</v>
      </c>
      <c r="AH14">
        <f t="shared" si="7"/>
        <v>84644</v>
      </c>
    </row>
    <row r="15" spans="1:34" x14ac:dyDescent="0.3">
      <c r="A15">
        <v>13</v>
      </c>
      <c r="B15" t="s">
        <v>13</v>
      </c>
      <c r="C15">
        <v>36684</v>
      </c>
      <c r="D15">
        <v>35747</v>
      </c>
      <c r="E15">
        <v>35880</v>
      </c>
      <c r="F15">
        <v>35757</v>
      </c>
      <c r="G15">
        <v>35739</v>
      </c>
      <c r="H15">
        <v>35826</v>
      </c>
      <c r="I15">
        <v>35765</v>
      </c>
      <c r="J15">
        <v>35867</v>
      </c>
      <c r="K15">
        <v>35759</v>
      </c>
      <c r="L15">
        <v>35831</v>
      </c>
      <c r="M15">
        <v>35912</v>
      </c>
      <c r="N15" s="6">
        <f t="shared" si="10"/>
        <v>35739</v>
      </c>
      <c r="O15" s="4">
        <f t="shared" si="11"/>
        <v>35808.300000000003</v>
      </c>
      <c r="P15" s="4">
        <f t="shared" si="5"/>
        <v>35912</v>
      </c>
      <c r="Q15" s="7">
        <f t="shared" si="8"/>
        <v>0</v>
      </c>
      <c r="R15" s="7">
        <f t="shared" si="9"/>
        <v>1</v>
      </c>
      <c r="S15" s="7">
        <f t="shared" si="6"/>
        <v>1</v>
      </c>
      <c r="T15" t="s">
        <v>13</v>
      </c>
      <c r="U15">
        <v>36684</v>
      </c>
      <c r="V15">
        <v>35799</v>
      </c>
      <c r="W15">
        <v>35944</v>
      </c>
      <c r="X15">
        <v>35823</v>
      </c>
      <c r="Y15">
        <v>35786</v>
      </c>
      <c r="Z15">
        <v>35820</v>
      </c>
      <c r="AA15">
        <v>35771</v>
      </c>
      <c r="AB15">
        <v>35723</v>
      </c>
      <c r="AC15">
        <v>35857</v>
      </c>
      <c r="AD15">
        <v>35939</v>
      </c>
      <c r="AE15">
        <v>35784</v>
      </c>
      <c r="AF15">
        <f t="shared" si="3"/>
        <v>35723</v>
      </c>
      <c r="AG15">
        <f t="shared" si="4"/>
        <v>35824.6</v>
      </c>
      <c r="AH15">
        <f t="shared" si="7"/>
        <v>35944</v>
      </c>
    </row>
    <row r="16" spans="1:34" x14ac:dyDescent="0.3">
      <c r="A16">
        <v>14</v>
      </c>
      <c r="B16" t="s">
        <v>14</v>
      </c>
      <c r="C16">
        <v>35995</v>
      </c>
      <c r="D16">
        <v>35095</v>
      </c>
      <c r="E16">
        <v>35314</v>
      </c>
      <c r="F16">
        <v>35338</v>
      </c>
      <c r="G16">
        <v>35171</v>
      </c>
      <c r="H16">
        <v>35263</v>
      </c>
      <c r="I16">
        <v>35225</v>
      </c>
      <c r="J16">
        <v>35325</v>
      </c>
      <c r="K16">
        <v>35167</v>
      </c>
      <c r="L16">
        <v>35479</v>
      </c>
      <c r="M16">
        <v>35227</v>
      </c>
      <c r="N16" s="6">
        <f t="shared" si="10"/>
        <v>35095</v>
      </c>
      <c r="O16" s="6">
        <f t="shared" si="11"/>
        <v>35260.400000000001</v>
      </c>
      <c r="P16" s="6">
        <f t="shared" si="5"/>
        <v>35479</v>
      </c>
      <c r="Q16" s="7">
        <f t="shared" si="8"/>
        <v>0</v>
      </c>
      <c r="R16" s="7">
        <f t="shared" si="9"/>
        <v>0</v>
      </c>
      <c r="S16" s="7">
        <f t="shared" si="6"/>
        <v>0</v>
      </c>
      <c r="T16" t="s">
        <v>14</v>
      </c>
      <c r="U16">
        <v>35995</v>
      </c>
      <c r="V16">
        <v>35117</v>
      </c>
      <c r="W16">
        <v>35043</v>
      </c>
      <c r="X16">
        <v>35375</v>
      </c>
      <c r="Y16">
        <v>35258</v>
      </c>
      <c r="Z16">
        <v>35139</v>
      </c>
      <c r="AA16">
        <v>35056</v>
      </c>
      <c r="AB16">
        <v>35373</v>
      </c>
      <c r="AC16">
        <v>35239</v>
      </c>
      <c r="AD16">
        <v>35160</v>
      </c>
      <c r="AE16">
        <v>35036</v>
      </c>
      <c r="AF16">
        <f t="shared" si="3"/>
        <v>35036</v>
      </c>
      <c r="AG16">
        <f t="shared" si="4"/>
        <v>35179.599999999999</v>
      </c>
      <c r="AH16">
        <f t="shared" si="7"/>
        <v>35375</v>
      </c>
    </row>
    <row r="17" spans="1:34" x14ac:dyDescent="0.3">
      <c r="A17">
        <v>15</v>
      </c>
      <c r="B17" t="s">
        <v>15</v>
      </c>
      <c r="C17">
        <v>97669</v>
      </c>
      <c r="D17">
        <v>96135</v>
      </c>
      <c r="E17">
        <v>96009</v>
      </c>
      <c r="F17">
        <v>95700</v>
      </c>
      <c r="G17">
        <v>95840</v>
      </c>
      <c r="H17">
        <v>96435</v>
      </c>
      <c r="I17">
        <v>95906</v>
      </c>
      <c r="J17">
        <v>96139</v>
      </c>
      <c r="K17">
        <v>96109</v>
      </c>
      <c r="L17">
        <v>96197</v>
      </c>
      <c r="M17">
        <v>96427</v>
      </c>
      <c r="N17" s="6">
        <f t="shared" si="10"/>
        <v>95700</v>
      </c>
      <c r="O17" s="4">
        <f t="shared" si="11"/>
        <v>96089.7</v>
      </c>
      <c r="P17" s="4">
        <f t="shared" si="5"/>
        <v>96435</v>
      </c>
      <c r="Q17" s="7">
        <f t="shared" si="8"/>
        <v>0</v>
      </c>
      <c r="R17" s="7">
        <f t="shared" si="9"/>
        <v>1</v>
      </c>
      <c r="S17" s="7">
        <f t="shared" si="6"/>
        <v>1</v>
      </c>
      <c r="T17" t="s">
        <v>15</v>
      </c>
      <c r="U17">
        <v>97669</v>
      </c>
      <c r="V17">
        <v>96232</v>
      </c>
      <c r="W17">
        <v>95990</v>
      </c>
      <c r="X17">
        <v>96004</v>
      </c>
      <c r="Y17">
        <v>95688</v>
      </c>
      <c r="Z17">
        <v>96097</v>
      </c>
      <c r="AA17">
        <v>96201</v>
      </c>
      <c r="AB17">
        <v>96145</v>
      </c>
      <c r="AC17">
        <v>96434</v>
      </c>
      <c r="AD17">
        <v>95957</v>
      </c>
      <c r="AE17">
        <v>96735</v>
      </c>
      <c r="AF17">
        <f t="shared" si="3"/>
        <v>95688</v>
      </c>
      <c r="AG17">
        <f t="shared" si="4"/>
        <v>96148.3</v>
      </c>
      <c r="AH17">
        <f t="shared" si="7"/>
        <v>96735</v>
      </c>
    </row>
    <row r="18" spans="1:34" x14ac:dyDescent="0.3">
      <c r="A18">
        <v>16</v>
      </c>
      <c r="B18" t="s">
        <v>16</v>
      </c>
      <c r="C18">
        <v>34668</v>
      </c>
      <c r="D18">
        <v>32047</v>
      </c>
      <c r="E18">
        <v>31604</v>
      </c>
      <c r="F18">
        <v>31793</v>
      </c>
      <c r="G18">
        <v>31577</v>
      </c>
      <c r="H18">
        <v>31850</v>
      </c>
      <c r="I18">
        <v>32110</v>
      </c>
      <c r="J18">
        <v>31934</v>
      </c>
      <c r="K18">
        <v>32154</v>
      </c>
      <c r="L18">
        <v>32224</v>
      </c>
      <c r="M18">
        <v>31725</v>
      </c>
      <c r="N18" s="4">
        <f t="shared" si="10"/>
        <v>31577</v>
      </c>
      <c r="O18" s="6">
        <f t="shared" si="11"/>
        <v>31901.8</v>
      </c>
      <c r="P18" s="6">
        <f t="shared" si="5"/>
        <v>32224</v>
      </c>
      <c r="Q18" s="7">
        <f t="shared" si="8"/>
        <v>1</v>
      </c>
      <c r="R18" s="7">
        <f t="shared" si="9"/>
        <v>0</v>
      </c>
      <c r="S18" s="7">
        <f t="shared" si="6"/>
        <v>0</v>
      </c>
      <c r="T18" t="s">
        <v>16</v>
      </c>
      <c r="U18">
        <v>34668</v>
      </c>
      <c r="V18">
        <v>31882</v>
      </c>
      <c r="W18">
        <v>32109</v>
      </c>
      <c r="X18">
        <v>31757</v>
      </c>
      <c r="Y18">
        <v>31651</v>
      </c>
      <c r="Z18">
        <v>32179</v>
      </c>
      <c r="AA18">
        <v>31830</v>
      </c>
      <c r="AB18">
        <v>31584</v>
      </c>
      <c r="AC18">
        <v>31977</v>
      </c>
      <c r="AD18">
        <v>32020</v>
      </c>
      <c r="AE18">
        <v>31601</v>
      </c>
      <c r="AF18">
        <f t="shared" si="3"/>
        <v>31584</v>
      </c>
      <c r="AG18">
        <f t="shared" si="4"/>
        <v>31859</v>
      </c>
      <c r="AH18">
        <f t="shared" si="7"/>
        <v>32179</v>
      </c>
    </row>
    <row r="19" spans="1:34" x14ac:dyDescent="0.3">
      <c r="A19">
        <v>17</v>
      </c>
      <c r="B19" t="s">
        <v>17</v>
      </c>
      <c r="C19">
        <v>27035</v>
      </c>
      <c r="D19">
        <v>26659</v>
      </c>
      <c r="E19">
        <v>26537</v>
      </c>
      <c r="F19">
        <v>26549</v>
      </c>
      <c r="G19">
        <v>26609</v>
      </c>
      <c r="H19">
        <v>26507</v>
      </c>
      <c r="I19">
        <v>26626</v>
      </c>
      <c r="J19">
        <v>26587</v>
      </c>
      <c r="K19">
        <v>26615</v>
      </c>
      <c r="L19">
        <v>26745</v>
      </c>
      <c r="M19">
        <v>26430</v>
      </c>
      <c r="N19" s="4">
        <f t="shared" si="10"/>
        <v>26430</v>
      </c>
      <c r="O19" s="6">
        <f t="shared" si="11"/>
        <v>26586.400000000001</v>
      </c>
      <c r="P19" s="6">
        <f t="shared" si="5"/>
        <v>26745</v>
      </c>
      <c r="Q19" s="7">
        <f t="shared" si="8"/>
        <v>1</v>
      </c>
      <c r="R19" s="7">
        <f t="shared" si="9"/>
        <v>0</v>
      </c>
      <c r="S19" s="7">
        <f t="shared" si="6"/>
        <v>0</v>
      </c>
      <c r="T19" t="s">
        <v>17</v>
      </c>
      <c r="U19">
        <v>27035</v>
      </c>
      <c r="V19">
        <v>26435</v>
      </c>
      <c r="W19">
        <v>26509</v>
      </c>
      <c r="X19">
        <v>26613</v>
      </c>
      <c r="Y19">
        <v>26507</v>
      </c>
      <c r="Z19">
        <v>26546</v>
      </c>
      <c r="AA19">
        <v>26477</v>
      </c>
      <c r="AB19">
        <v>26525</v>
      </c>
      <c r="AC19">
        <v>26676</v>
      </c>
      <c r="AD19">
        <v>26586</v>
      </c>
      <c r="AE19">
        <v>26589</v>
      </c>
      <c r="AF19">
        <f t="shared" si="3"/>
        <v>26435</v>
      </c>
      <c r="AG19">
        <f t="shared" si="4"/>
        <v>26546.3</v>
      </c>
      <c r="AH19">
        <f t="shared" si="7"/>
        <v>26676</v>
      </c>
    </row>
    <row r="20" spans="1:34" x14ac:dyDescent="0.3">
      <c r="A20">
        <v>18</v>
      </c>
      <c r="B20" t="s">
        <v>18</v>
      </c>
      <c r="C20">
        <v>25360</v>
      </c>
      <c r="D20">
        <v>23234</v>
      </c>
      <c r="E20">
        <v>23240</v>
      </c>
      <c r="F20">
        <v>23085</v>
      </c>
      <c r="G20">
        <v>23276</v>
      </c>
      <c r="H20">
        <v>23312</v>
      </c>
      <c r="I20">
        <v>23233</v>
      </c>
      <c r="J20">
        <v>23329</v>
      </c>
      <c r="K20">
        <v>23337</v>
      </c>
      <c r="L20">
        <v>23284</v>
      </c>
      <c r="M20">
        <v>23225</v>
      </c>
      <c r="N20" s="4">
        <f t="shared" si="10"/>
        <v>23085</v>
      </c>
      <c r="O20" s="6">
        <f t="shared" si="11"/>
        <v>23255.5</v>
      </c>
      <c r="P20" s="4">
        <f t="shared" si="5"/>
        <v>23337</v>
      </c>
      <c r="Q20" s="7">
        <f t="shared" si="8"/>
        <v>1</v>
      </c>
      <c r="R20" s="7">
        <f t="shared" si="9"/>
        <v>0</v>
      </c>
      <c r="S20" s="7">
        <f t="shared" si="6"/>
        <v>1</v>
      </c>
      <c r="T20" t="s">
        <v>18</v>
      </c>
      <c r="U20">
        <v>25360</v>
      </c>
      <c r="V20">
        <v>23304</v>
      </c>
      <c r="W20">
        <v>23121</v>
      </c>
      <c r="X20">
        <v>23182</v>
      </c>
      <c r="Y20">
        <v>23309</v>
      </c>
      <c r="Z20">
        <v>23180</v>
      </c>
      <c r="AA20">
        <v>23196</v>
      </c>
      <c r="AB20">
        <v>23362</v>
      </c>
      <c r="AC20">
        <v>23103</v>
      </c>
      <c r="AD20">
        <v>23217</v>
      </c>
      <c r="AE20">
        <v>23181</v>
      </c>
      <c r="AF20">
        <f t="shared" si="3"/>
        <v>23103</v>
      </c>
      <c r="AG20">
        <f t="shared" si="4"/>
        <v>23215.5</v>
      </c>
      <c r="AH20">
        <f t="shared" si="7"/>
        <v>23362</v>
      </c>
    </row>
    <row r="21" spans="1:34" x14ac:dyDescent="0.3">
      <c r="A21">
        <v>19</v>
      </c>
      <c r="B21" t="s">
        <v>19</v>
      </c>
      <c r="C21">
        <v>40417</v>
      </c>
      <c r="D21">
        <v>39196</v>
      </c>
      <c r="E21">
        <v>39163</v>
      </c>
      <c r="F21">
        <v>38996</v>
      </c>
      <c r="G21">
        <v>39019</v>
      </c>
      <c r="H21">
        <v>39129</v>
      </c>
      <c r="I21">
        <v>39266</v>
      </c>
      <c r="J21">
        <v>39203</v>
      </c>
      <c r="K21">
        <v>39118</v>
      </c>
      <c r="L21">
        <v>39067</v>
      </c>
      <c r="M21">
        <v>39201</v>
      </c>
      <c r="N21" s="6">
        <f t="shared" si="10"/>
        <v>38996</v>
      </c>
      <c r="O21" s="4">
        <f t="shared" si="11"/>
        <v>39135.800000000003</v>
      </c>
      <c r="P21" s="4">
        <f t="shared" si="5"/>
        <v>39266</v>
      </c>
      <c r="Q21" s="7">
        <f t="shared" si="8"/>
        <v>0</v>
      </c>
      <c r="R21" s="7">
        <f t="shared" si="9"/>
        <v>1</v>
      </c>
      <c r="S21" s="7">
        <f t="shared" si="6"/>
        <v>1</v>
      </c>
      <c r="T21" t="s">
        <v>19</v>
      </c>
      <c r="U21">
        <v>40417</v>
      </c>
      <c r="V21">
        <v>39233</v>
      </c>
      <c r="W21">
        <v>39083</v>
      </c>
      <c r="X21">
        <v>39238</v>
      </c>
      <c r="Y21">
        <v>39310</v>
      </c>
      <c r="Z21">
        <v>39173</v>
      </c>
      <c r="AA21">
        <v>39077</v>
      </c>
      <c r="AB21">
        <v>39232</v>
      </c>
      <c r="AC21">
        <v>39162</v>
      </c>
      <c r="AD21">
        <v>38908</v>
      </c>
      <c r="AE21">
        <v>39034</v>
      </c>
      <c r="AF21">
        <f t="shared" si="3"/>
        <v>38908</v>
      </c>
      <c r="AG21">
        <f t="shared" si="4"/>
        <v>39145</v>
      </c>
      <c r="AH21">
        <f t="shared" si="7"/>
        <v>39310</v>
      </c>
    </row>
    <row r="22" spans="1:34" ht="28.8" x14ac:dyDescent="0.3">
      <c r="A22">
        <v>20</v>
      </c>
      <c r="B22" t="s">
        <v>3</v>
      </c>
      <c r="C22">
        <v>22235</v>
      </c>
      <c r="D22">
        <v>20541</v>
      </c>
      <c r="E22">
        <v>20355</v>
      </c>
      <c r="F22">
        <v>20258</v>
      </c>
      <c r="G22">
        <v>20402</v>
      </c>
      <c r="H22">
        <v>20495</v>
      </c>
      <c r="I22">
        <v>20393</v>
      </c>
      <c r="J22">
        <v>20464</v>
      </c>
      <c r="K22">
        <v>20554</v>
      </c>
      <c r="L22">
        <v>20599</v>
      </c>
      <c r="M22">
        <v>20377</v>
      </c>
      <c r="N22" s="6">
        <f t="shared" si="10"/>
        <v>20258</v>
      </c>
      <c r="O22" s="6">
        <f t="shared" si="11"/>
        <v>20443.8</v>
      </c>
      <c r="P22" s="6">
        <f t="shared" si="5"/>
        <v>20599</v>
      </c>
      <c r="Q22" s="7">
        <f t="shared" si="8"/>
        <v>0</v>
      </c>
      <c r="R22" s="7">
        <f t="shared" si="9"/>
        <v>0</v>
      </c>
      <c r="S22" s="7">
        <f t="shared" si="6"/>
        <v>0</v>
      </c>
      <c r="T22" s="3" t="s">
        <v>3</v>
      </c>
      <c r="U22" s="1">
        <v>22235</v>
      </c>
      <c r="V22" s="1">
        <v>20329</v>
      </c>
      <c r="W22" s="1">
        <v>20341</v>
      </c>
      <c r="X22" s="1">
        <v>20453</v>
      </c>
      <c r="Y22" s="1">
        <v>20368</v>
      </c>
      <c r="Z22" s="1">
        <v>20438</v>
      </c>
      <c r="AA22" s="1">
        <v>20498</v>
      </c>
      <c r="AB22" s="1">
        <v>20458</v>
      </c>
      <c r="AC22" s="1">
        <v>20255</v>
      </c>
      <c r="AD22" s="1">
        <v>20380</v>
      </c>
      <c r="AE22" s="1">
        <v>20448</v>
      </c>
      <c r="AF22">
        <f t="shared" si="3"/>
        <v>20255</v>
      </c>
      <c r="AG22">
        <f t="shared" si="4"/>
        <v>20396.8</v>
      </c>
      <c r="AH22">
        <f t="shared" si="7"/>
        <v>20498</v>
      </c>
    </row>
    <row r="23" spans="1:34" ht="28.8" x14ac:dyDescent="0.3">
      <c r="A23">
        <v>21</v>
      </c>
      <c r="B23" t="s">
        <v>4</v>
      </c>
      <c r="C23">
        <v>112327</v>
      </c>
      <c r="D23">
        <v>110122</v>
      </c>
      <c r="E23">
        <v>109886</v>
      </c>
      <c r="F23">
        <v>109907</v>
      </c>
      <c r="G23">
        <v>110110</v>
      </c>
      <c r="H23">
        <v>109851</v>
      </c>
      <c r="I23">
        <v>109973</v>
      </c>
      <c r="J23">
        <v>109915</v>
      </c>
      <c r="K23">
        <v>109838</v>
      </c>
      <c r="L23">
        <v>109509</v>
      </c>
      <c r="M23">
        <v>110007</v>
      </c>
      <c r="N23" s="4">
        <f t="shared" si="10"/>
        <v>109509</v>
      </c>
      <c r="O23" s="4">
        <f t="shared" si="11"/>
        <v>109911.8</v>
      </c>
      <c r="P23" s="4">
        <f t="shared" si="5"/>
        <v>110122</v>
      </c>
      <c r="Q23" s="7">
        <f t="shared" si="8"/>
        <v>1</v>
      </c>
      <c r="R23" s="7">
        <f t="shared" si="9"/>
        <v>1</v>
      </c>
      <c r="S23" s="7">
        <f t="shared" si="6"/>
        <v>1</v>
      </c>
      <c r="T23" s="3" t="s">
        <v>4</v>
      </c>
      <c r="U23" s="1">
        <v>112327</v>
      </c>
      <c r="V23" s="1">
        <v>109788</v>
      </c>
      <c r="W23" s="1">
        <v>110081</v>
      </c>
      <c r="X23" s="1">
        <v>109681</v>
      </c>
      <c r="Y23" s="1">
        <v>109626</v>
      </c>
      <c r="Z23" s="1">
        <v>109994</v>
      </c>
      <c r="AA23" s="1">
        <v>110277</v>
      </c>
      <c r="AB23" s="1">
        <v>110320</v>
      </c>
      <c r="AC23" s="1">
        <v>109989</v>
      </c>
      <c r="AD23" s="1">
        <v>110451</v>
      </c>
      <c r="AE23" s="1">
        <v>109596</v>
      </c>
      <c r="AF23">
        <f t="shared" si="3"/>
        <v>109596</v>
      </c>
      <c r="AG23">
        <f t="shared" si="4"/>
        <v>109980.3</v>
      </c>
      <c r="AH23">
        <f t="shared" si="7"/>
        <v>110451</v>
      </c>
    </row>
    <row r="24" spans="1:34" ht="28.8" x14ac:dyDescent="0.3">
      <c r="A24">
        <v>22</v>
      </c>
      <c r="B24" t="s">
        <v>5</v>
      </c>
      <c r="C24">
        <v>39005</v>
      </c>
      <c r="D24">
        <v>37080</v>
      </c>
      <c r="E24">
        <v>36932</v>
      </c>
      <c r="F24">
        <v>37138</v>
      </c>
      <c r="G24">
        <v>36839</v>
      </c>
      <c r="H24">
        <v>37013</v>
      </c>
      <c r="I24">
        <v>36735</v>
      </c>
      <c r="J24">
        <v>37215</v>
      </c>
      <c r="K24">
        <v>36980</v>
      </c>
      <c r="L24">
        <v>36931</v>
      </c>
      <c r="M24">
        <v>36934</v>
      </c>
      <c r="N24" s="4">
        <f t="shared" si="10"/>
        <v>36735</v>
      </c>
      <c r="O24" s="4">
        <f t="shared" si="11"/>
        <v>36979.699999999997</v>
      </c>
      <c r="P24" s="4">
        <f t="shared" si="5"/>
        <v>37215</v>
      </c>
      <c r="Q24" s="7">
        <f t="shared" si="8"/>
        <v>1</v>
      </c>
      <c r="R24" s="7">
        <f t="shared" si="9"/>
        <v>1</v>
      </c>
      <c r="S24" s="7">
        <f t="shared" si="6"/>
        <v>1</v>
      </c>
      <c r="T24" s="3" t="s">
        <v>5</v>
      </c>
      <c r="U24" s="1">
        <v>39005</v>
      </c>
      <c r="V24" s="1">
        <v>36775</v>
      </c>
      <c r="W24" s="1">
        <v>37108</v>
      </c>
      <c r="X24" s="1">
        <v>36919</v>
      </c>
      <c r="Y24" s="1">
        <v>36962</v>
      </c>
      <c r="Z24" s="1">
        <v>37355</v>
      </c>
      <c r="AA24" s="1">
        <v>37035</v>
      </c>
      <c r="AB24" s="1">
        <v>37016</v>
      </c>
      <c r="AC24" s="1">
        <v>37113</v>
      </c>
      <c r="AD24" s="1">
        <v>36926</v>
      </c>
      <c r="AE24" s="1">
        <v>37078</v>
      </c>
      <c r="AF24">
        <f t="shared" si="3"/>
        <v>36775</v>
      </c>
      <c r="AG24">
        <f t="shared" si="4"/>
        <v>37028.699999999997</v>
      </c>
      <c r="AH24">
        <f t="shared" si="7"/>
        <v>37355</v>
      </c>
    </row>
    <row r="25" spans="1:34" ht="28.8" x14ac:dyDescent="0.3">
      <c r="A25">
        <v>23</v>
      </c>
      <c r="B25" t="s">
        <v>6</v>
      </c>
      <c r="C25">
        <v>234770</v>
      </c>
      <c r="D25">
        <v>226687</v>
      </c>
      <c r="E25">
        <v>225926</v>
      </c>
      <c r="F25">
        <v>227314</v>
      </c>
      <c r="G25">
        <v>226480</v>
      </c>
      <c r="H25">
        <v>226394</v>
      </c>
      <c r="I25">
        <v>227663</v>
      </c>
      <c r="J25">
        <v>226993</v>
      </c>
      <c r="K25">
        <v>226946</v>
      </c>
      <c r="L25">
        <v>228054</v>
      </c>
      <c r="M25">
        <v>226887</v>
      </c>
      <c r="N25" s="4">
        <f t="shared" si="10"/>
        <v>225926</v>
      </c>
      <c r="O25" s="4">
        <f t="shared" si="11"/>
        <v>226934.39999999999</v>
      </c>
      <c r="P25" s="6">
        <f t="shared" si="5"/>
        <v>228054</v>
      </c>
      <c r="Q25" s="7">
        <f t="shared" si="8"/>
        <v>1</v>
      </c>
      <c r="R25" s="7">
        <f t="shared" si="9"/>
        <v>1</v>
      </c>
      <c r="S25" s="7">
        <f t="shared" si="6"/>
        <v>0</v>
      </c>
      <c r="T25" s="3" t="s">
        <v>6</v>
      </c>
      <c r="U25" s="1">
        <v>234770</v>
      </c>
      <c r="V25" s="1">
        <v>226571</v>
      </c>
      <c r="W25" s="1">
        <v>227031</v>
      </c>
      <c r="X25" s="1">
        <v>227365</v>
      </c>
      <c r="Y25" s="1">
        <v>227340</v>
      </c>
      <c r="Z25" s="1">
        <v>226575</v>
      </c>
      <c r="AA25" s="1">
        <v>227733</v>
      </c>
      <c r="AB25" s="1">
        <v>226957</v>
      </c>
      <c r="AC25" s="1">
        <v>226552</v>
      </c>
      <c r="AD25" s="1">
        <v>226926</v>
      </c>
      <c r="AE25" s="1">
        <v>226811</v>
      </c>
      <c r="AF25">
        <f t="shared" si="3"/>
        <v>226552</v>
      </c>
      <c r="AG25">
        <f t="shared" si="4"/>
        <v>226986.1</v>
      </c>
      <c r="AH25">
        <f t="shared" si="7"/>
        <v>227733</v>
      </c>
    </row>
    <row r="26" spans="1:34" ht="28.8" x14ac:dyDescent="0.3">
      <c r="A26">
        <v>24</v>
      </c>
      <c r="B26" t="s">
        <v>7</v>
      </c>
      <c r="C26">
        <v>93404</v>
      </c>
      <c r="D26">
        <v>92499</v>
      </c>
      <c r="E26">
        <v>92187</v>
      </c>
      <c r="F26">
        <v>92195</v>
      </c>
      <c r="G26">
        <v>92212</v>
      </c>
      <c r="H26">
        <v>92209</v>
      </c>
      <c r="I26">
        <v>92076</v>
      </c>
      <c r="J26">
        <v>92443</v>
      </c>
      <c r="K26">
        <v>92190</v>
      </c>
      <c r="L26">
        <v>92453</v>
      </c>
      <c r="M26">
        <v>92503</v>
      </c>
      <c r="N26" s="6">
        <f t="shared" si="10"/>
        <v>92076</v>
      </c>
      <c r="O26" s="6">
        <f t="shared" si="11"/>
        <v>92296.7</v>
      </c>
      <c r="P26" s="6">
        <f t="shared" si="5"/>
        <v>92503</v>
      </c>
      <c r="Q26" s="7">
        <f t="shared" si="8"/>
        <v>0</v>
      </c>
      <c r="R26" s="7">
        <f t="shared" si="9"/>
        <v>0</v>
      </c>
      <c r="S26" s="7">
        <f t="shared" si="6"/>
        <v>0</v>
      </c>
      <c r="T26" s="3" t="s">
        <v>7</v>
      </c>
      <c r="U26" s="1">
        <v>93404</v>
      </c>
      <c r="V26" s="1">
        <v>91999</v>
      </c>
      <c r="W26" s="1">
        <v>92360</v>
      </c>
      <c r="X26" s="1">
        <v>92213</v>
      </c>
      <c r="Y26" s="1">
        <v>91903</v>
      </c>
      <c r="Z26" s="1">
        <v>91989</v>
      </c>
      <c r="AA26" s="1">
        <v>92370</v>
      </c>
      <c r="AB26" s="1">
        <v>92300</v>
      </c>
      <c r="AC26" s="1">
        <v>92155</v>
      </c>
      <c r="AD26" s="1">
        <v>92400</v>
      </c>
      <c r="AE26" s="1">
        <v>92129</v>
      </c>
      <c r="AF26">
        <f t="shared" si="3"/>
        <v>91903</v>
      </c>
      <c r="AG26">
        <f t="shared" si="4"/>
        <v>92181.8</v>
      </c>
      <c r="AH26">
        <f t="shared" si="7"/>
        <v>92400</v>
      </c>
    </row>
    <row r="27" spans="1:34" ht="28.8" x14ac:dyDescent="0.3">
      <c r="A27">
        <v>25</v>
      </c>
      <c r="B27" t="s">
        <v>8</v>
      </c>
      <c r="C27">
        <v>71043</v>
      </c>
      <c r="D27">
        <v>70504</v>
      </c>
      <c r="E27">
        <v>70793</v>
      </c>
      <c r="F27">
        <v>70737</v>
      </c>
      <c r="G27">
        <v>70490</v>
      </c>
      <c r="H27">
        <v>70688</v>
      </c>
      <c r="I27">
        <v>70559</v>
      </c>
      <c r="J27">
        <v>70426</v>
      </c>
      <c r="K27">
        <v>70526</v>
      </c>
      <c r="L27">
        <v>70450</v>
      </c>
      <c r="M27">
        <v>70545</v>
      </c>
      <c r="N27" s="4">
        <f t="shared" si="10"/>
        <v>70426</v>
      </c>
      <c r="O27" s="4">
        <f t="shared" si="11"/>
        <v>70571.8</v>
      </c>
      <c r="P27" s="6">
        <f t="shared" si="5"/>
        <v>70793</v>
      </c>
      <c r="Q27" s="7">
        <f t="shared" si="8"/>
        <v>1</v>
      </c>
      <c r="R27" s="7">
        <f t="shared" si="9"/>
        <v>1</v>
      </c>
      <c r="S27" s="7">
        <f t="shared" si="6"/>
        <v>0</v>
      </c>
      <c r="T27" s="3" t="s">
        <v>8</v>
      </c>
      <c r="U27" s="1">
        <v>71043</v>
      </c>
      <c r="V27" s="1">
        <v>70598</v>
      </c>
      <c r="W27" s="1">
        <v>70543</v>
      </c>
      <c r="X27" s="1">
        <v>70580</v>
      </c>
      <c r="Y27" s="1">
        <v>70531</v>
      </c>
      <c r="Z27" s="1">
        <v>70782</v>
      </c>
      <c r="AA27" s="1">
        <v>70508</v>
      </c>
      <c r="AB27" s="1">
        <v>70599</v>
      </c>
      <c r="AC27" s="1">
        <v>70606</v>
      </c>
      <c r="AD27" s="1">
        <v>70716</v>
      </c>
      <c r="AE27" s="1">
        <v>70686</v>
      </c>
      <c r="AF27">
        <f t="shared" si="3"/>
        <v>70508</v>
      </c>
      <c r="AG27">
        <f t="shared" si="4"/>
        <v>70614.899999999994</v>
      </c>
      <c r="AH27">
        <f t="shared" si="7"/>
        <v>70782</v>
      </c>
    </row>
    <row r="28" spans="1:34" x14ac:dyDescent="0.3">
      <c r="A28">
        <v>26</v>
      </c>
      <c r="B28" t="s">
        <v>21</v>
      </c>
      <c r="C28">
        <v>165672</v>
      </c>
      <c r="D28">
        <v>156426</v>
      </c>
      <c r="E28">
        <v>156606</v>
      </c>
      <c r="F28">
        <v>156471</v>
      </c>
      <c r="G28">
        <v>156978</v>
      </c>
      <c r="H28">
        <v>156804</v>
      </c>
      <c r="I28">
        <v>156328</v>
      </c>
      <c r="J28">
        <v>156301</v>
      </c>
      <c r="K28">
        <v>156272</v>
      </c>
      <c r="L28">
        <v>156417</v>
      </c>
      <c r="M28">
        <v>156712</v>
      </c>
      <c r="N28" s="6">
        <f t="shared" si="10"/>
        <v>156272</v>
      </c>
      <c r="O28" s="4">
        <f t="shared" si="11"/>
        <v>156531.5</v>
      </c>
      <c r="P28" s="4">
        <f t="shared" si="5"/>
        <v>156978</v>
      </c>
      <c r="Q28" s="7">
        <f t="shared" si="8"/>
        <v>0</v>
      </c>
      <c r="R28" s="7">
        <f t="shared" si="9"/>
        <v>1</v>
      </c>
      <c r="S28" s="7">
        <f t="shared" si="6"/>
        <v>1</v>
      </c>
      <c r="T28" t="s">
        <v>21</v>
      </c>
      <c r="U28">
        <v>165672</v>
      </c>
      <c r="V28">
        <v>156748</v>
      </c>
      <c r="W28">
        <v>157470</v>
      </c>
      <c r="X28">
        <v>157834</v>
      </c>
      <c r="Y28">
        <v>156668</v>
      </c>
      <c r="Z28">
        <v>156878</v>
      </c>
      <c r="AA28">
        <v>156324</v>
      </c>
      <c r="AB28">
        <v>156035</v>
      </c>
      <c r="AC28">
        <v>156704</v>
      </c>
      <c r="AD28">
        <v>157493</v>
      </c>
      <c r="AE28">
        <v>156836</v>
      </c>
      <c r="AF28">
        <f t="shared" si="3"/>
        <v>156035</v>
      </c>
      <c r="AG28">
        <f t="shared" si="4"/>
        <v>156899</v>
      </c>
      <c r="AH28">
        <f t="shared" si="7"/>
        <v>157834</v>
      </c>
    </row>
    <row r="29" spans="1:34" x14ac:dyDescent="0.3">
      <c r="A29">
        <v>27</v>
      </c>
      <c r="B29" t="s">
        <v>22</v>
      </c>
      <c r="C29">
        <v>89517</v>
      </c>
      <c r="D29">
        <v>88320</v>
      </c>
      <c r="E29">
        <v>88472</v>
      </c>
      <c r="F29">
        <v>88674</v>
      </c>
      <c r="G29">
        <v>88565</v>
      </c>
      <c r="H29">
        <v>88334</v>
      </c>
      <c r="I29">
        <v>88482</v>
      </c>
      <c r="J29">
        <v>88733</v>
      </c>
      <c r="K29">
        <v>88397</v>
      </c>
      <c r="L29">
        <v>88529</v>
      </c>
      <c r="M29">
        <v>88581</v>
      </c>
      <c r="N29" s="4">
        <f t="shared" si="10"/>
        <v>88320</v>
      </c>
      <c r="O29" s="6">
        <f t="shared" si="11"/>
        <v>88508.7</v>
      </c>
      <c r="P29" s="6">
        <f t="shared" si="5"/>
        <v>88733</v>
      </c>
      <c r="Q29" s="7">
        <f t="shared" si="8"/>
        <v>1</v>
      </c>
      <c r="R29" s="7">
        <f t="shared" si="9"/>
        <v>0</v>
      </c>
      <c r="S29" s="7">
        <f t="shared" si="6"/>
        <v>0</v>
      </c>
      <c r="T29" t="s">
        <v>22</v>
      </c>
      <c r="U29">
        <v>89517</v>
      </c>
      <c r="V29">
        <v>88388</v>
      </c>
      <c r="W29">
        <v>88343</v>
      </c>
      <c r="X29">
        <v>88467</v>
      </c>
      <c r="Y29">
        <v>88418</v>
      </c>
      <c r="Z29">
        <v>88532</v>
      </c>
      <c r="AA29">
        <v>88566</v>
      </c>
      <c r="AB29">
        <v>88646</v>
      </c>
      <c r="AC29">
        <v>88679</v>
      </c>
      <c r="AD29">
        <v>88455</v>
      </c>
      <c r="AE29">
        <v>88436</v>
      </c>
      <c r="AF29">
        <f t="shared" si="3"/>
        <v>88343</v>
      </c>
      <c r="AG29">
        <f t="shared" si="4"/>
        <v>88493</v>
      </c>
      <c r="AH29">
        <f t="shared" si="7"/>
        <v>88679</v>
      </c>
    </row>
    <row r="30" spans="1:34" x14ac:dyDescent="0.3">
      <c r="A30">
        <v>28</v>
      </c>
      <c r="B30" t="s">
        <v>23</v>
      </c>
      <c r="C30">
        <v>46327</v>
      </c>
      <c r="D30">
        <v>43832</v>
      </c>
      <c r="E30">
        <v>44145</v>
      </c>
      <c r="F30">
        <v>43986</v>
      </c>
      <c r="G30">
        <v>43773</v>
      </c>
      <c r="H30">
        <v>43708</v>
      </c>
      <c r="I30">
        <v>43831</v>
      </c>
      <c r="J30">
        <v>43781</v>
      </c>
      <c r="K30">
        <v>43518</v>
      </c>
      <c r="L30">
        <v>43873</v>
      </c>
      <c r="M30">
        <v>43852</v>
      </c>
      <c r="N30" s="4">
        <f t="shared" si="10"/>
        <v>43518</v>
      </c>
      <c r="O30" s="4">
        <f t="shared" si="11"/>
        <v>43829.9</v>
      </c>
      <c r="P30" s="4">
        <f t="shared" si="5"/>
        <v>44145</v>
      </c>
      <c r="Q30" s="7">
        <f t="shared" si="8"/>
        <v>1</v>
      </c>
      <c r="R30" s="7">
        <f t="shared" si="9"/>
        <v>1</v>
      </c>
      <c r="S30" s="7">
        <f t="shared" si="6"/>
        <v>1</v>
      </c>
      <c r="T30" t="s">
        <v>23</v>
      </c>
      <c r="U30">
        <v>46327</v>
      </c>
      <c r="V30">
        <v>43709</v>
      </c>
      <c r="W30">
        <v>44153</v>
      </c>
      <c r="X30">
        <v>43799</v>
      </c>
      <c r="Y30">
        <v>44062</v>
      </c>
      <c r="Z30">
        <v>43903</v>
      </c>
      <c r="AA30">
        <v>44049</v>
      </c>
      <c r="AB30">
        <v>43942</v>
      </c>
      <c r="AC30">
        <v>43947</v>
      </c>
      <c r="AD30">
        <v>43813</v>
      </c>
      <c r="AE30">
        <v>43880</v>
      </c>
      <c r="AF30">
        <f t="shared" si="3"/>
        <v>43709</v>
      </c>
      <c r="AG30">
        <f t="shared" si="4"/>
        <v>43925.7</v>
      </c>
      <c r="AH30">
        <f t="shared" si="7"/>
        <v>44153</v>
      </c>
    </row>
    <row r="31" spans="1:34" x14ac:dyDescent="0.3">
      <c r="A31">
        <v>29</v>
      </c>
      <c r="B31" t="s">
        <v>24</v>
      </c>
      <c r="C31">
        <v>199258</v>
      </c>
      <c r="D31">
        <v>195270</v>
      </c>
      <c r="E31">
        <v>195428</v>
      </c>
      <c r="F31">
        <v>196125</v>
      </c>
      <c r="G31">
        <v>194983</v>
      </c>
      <c r="H31">
        <v>195453</v>
      </c>
      <c r="I31">
        <v>195376</v>
      </c>
      <c r="J31">
        <v>195517</v>
      </c>
      <c r="K31">
        <v>195757</v>
      </c>
      <c r="L31">
        <v>194916</v>
      </c>
      <c r="M31">
        <v>194853</v>
      </c>
      <c r="N31" s="6">
        <f t="shared" si="10"/>
        <v>194853</v>
      </c>
      <c r="O31" s="6">
        <f t="shared" si="11"/>
        <v>195367.8</v>
      </c>
      <c r="P31" s="6">
        <f t="shared" si="5"/>
        <v>196125</v>
      </c>
      <c r="Q31" s="7">
        <f t="shared" si="8"/>
        <v>0</v>
      </c>
      <c r="R31" s="7">
        <f t="shared" si="9"/>
        <v>0</v>
      </c>
      <c r="S31" s="7">
        <f t="shared" si="6"/>
        <v>0</v>
      </c>
      <c r="T31" t="s">
        <v>24</v>
      </c>
      <c r="U31">
        <v>199258</v>
      </c>
      <c r="V31">
        <v>194244</v>
      </c>
      <c r="W31">
        <v>195725</v>
      </c>
      <c r="X31">
        <v>194828</v>
      </c>
      <c r="Y31">
        <v>194458</v>
      </c>
      <c r="Z31">
        <v>195403</v>
      </c>
      <c r="AA31">
        <v>194967</v>
      </c>
      <c r="AB31">
        <v>195948</v>
      </c>
      <c r="AC31">
        <v>194133</v>
      </c>
      <c r="AD31">
        <v>194926</v>
      </c>
      <c r="AE31">
        <v>195032</v>
      </c>
      <c r="AF31">
        <f t="shared" si="3"/>
        <v>194133</v>
      </c>
      <c r="AG31">
        <f t="shared" si="4"/>
        <v>194966.39999999999</v>
      </c>
      <c r="AH31">
        <f t="shared" si="7"/>
        <v>195948</v>
      </c>
    </row>
    <row r="32" spans="1:34" x14ac:dyDescent="0.3">
      <c r="A32">
        <v>30</v>
      </c>
      <c r="B32" t="s">
        <v>25</v>
      </c>
      <c r="C32">
        <v>62563</v>
      </c>
      <c r="D32">
        <v>61382</v>
      </c>
      <c r="E32">
        <v>61503</v>
      </c>
      <c r="F32">
        <v>61326</v>
      </c>
      <c r="G32">
        <v>61454</v>
      </c>
      <c r="H32">
        <v>61420</v>
      </c>
      <c r="I32">
        <v>61372</v>
      </c>
      <c r="J32">
        <v>61357</v>
      </c>
      <c r="K32">
        <v>61084</v>
      </c>
      <c r="L32">
        <v>61449</v>
      </c>
      <c r="M32">
        <v>61136</v>
      </c>
      <c r="N32" s="4">
        <f t="shared" si="10"/>
        <v>61084</v>
      </c>
      <c r="O32" s="4">
        <f t="shared" si="11"/>
        <v>61348.3</v>
      </c>
      <c r="P32" s="4">
        <f t="shared" si="5"/>
        <v>61503</v>
      </c>
      <c r="Q32" s="7">
        <f t="shared" si="8"/>
        <v>1</v>
      </c>
      <c r="R32" s="7">
        <f t="shared" si="9"/>
        <v>1</v>
      </c>
      <c r="S32" s="7">
        <f t="shared" si="6"/>
        <v>1</v>
      </c>
      <c r="T32" t="s">
        <v>25</v>
      </c>
      <c r="U32">
        <v>62563</v>
      </c>
      <c r="V32">
        <v>61575</v>
      </c>
      <c r="W32">
        <v>61708</v>
      </c>
      <c r="X32">
        <v>61628</v>
      </c>
      <c r="Y32">
        <v>61827</v>
      </c>
      <c r="Z32">
        <v>61323</v>
      </c>
      <c r="AA32">
        <v>61348</v>
      </c>
      <c r="AB32">
        <v>61532</v>
      </c>
      <c r="AC32">
        <v>61922</v>
      </c>
      <c r="AD32">
        <v>61270</v>
      </c>
      <c r="AE32">
        <v>61279</v>
      </c>
      <c r="AF32">
        <f t="shared" si="3"/>
        <v>61270</v>
      </c>
      <c r="AG32">
        <f t="shared" si="4"/>
        <v>61541.2</v>
      </c>
      <c r="AH32">
        <f t="shared" si="7"/>
        <v>61922</v>
      </c>
    </row>
    <row r="33" spans="1:34" x14ac:dyDescent="0.3">
      <c r="A33">
        <v>31</v>
      </c>
      <c r="B33" t="s">
        <v>26</v>
      </c>
      <c r="C33">
        <v>65701</v>
      </c>
      <c r="D33">
        <v>64712</v>
      </c>
      <c r="E33">
        <v>64786</v>
      </c>
      <c r="F33">
        <v>64457</v>
      </c>
      <c r="G33">
        <v>64648</v>
      </c>
      <c r="H33">
        <v>64804</v>
      </c>
      <c r="I33">
        <v>64517</v>
      </c>
      <c r="J33">
        <v>64441</v>
      </c>
      <c r="K33">
        <v>64896</v>
      </c>
      <c r="L33">
        <v>64682</v>
      </c>
      <c r="M33">
        <v>64456</v>
      </c>
      <c r="N33" s="6">
        <f t="shared" si="10"/>
        <v>64441</v>
      </c>
      <c r="O33" s="6">
        <f t="shared" si="11"/>
        <v>64639.9</v>
      </c>
      <c r="P33" s="4">
        <f t="shared" si="5"/>
        <v>64896</v>
      </c>
      <c r="Q33" s="7">
        <f t="shared" si="8"/>
        <v>0</v>
      </c>
      <c r="R33" s="7">
        <f t="shared" si="9"/>
        <v>0</v>
      </c>
      <c r="S33" s="7">
        <f t="shared" si="6"/>
        <v>1</v>
      </c>
      <c r="T33" t="s">
        <v>26</v>
      </c>
      <c r="U33">
        <v>65701</v>
      </c>
      <c r="V33">
        <v>64715</v>
      </c>
      <c r="W33">
        <v>64953</v>
      </c>
      <c r="X33">
        <v>64558</v>
      </c>
      <c r="Y33">
        <v>64335</v>
      </c>
      <c r="Z33">
        <v>64435</v>
      </c>
      <c r="AA33">
        <v>64709</v>
      </c>
      <c r="AB33">
        <v>64310</v>
      </c>
      <c r="AC33">
        <v>64493</v>
      </c>
      <c r="AD33">
        <v>64204</v>
      </c>
      <c r="AE33">
        <v>64442</v>
      </c>
      <c r="AF33">
        <f t="shared" si="3"/>
        <v>64204</v>
      </c>
      <c r="AG33">
        <f t="shared" si="4"/>
        <v>64515.4</v>
      </c>
      <c r="AH33">
        <f t="shared" si="7"/>
        <v>64953</v>
      </c>
    </row>
    <row r="34" spans="1:34" x14ac:dyDescent="0.3">
      <c r="A34">
        <v>32</v>
      </c>
      <c r="B34" t="s">
        <v>27</v>
      </c>
      <c r="C34">
        <v>68409</v>
      </c>
      <c r="D34">
        <v>65961</v>
      </c>
      <c r="E34">
        <v>66440</v>
      </c>
      <c r="F34">
        <v>65897</v>
      </c>
      <c r="G34">
        <v>65973</v>
      </c>
      <c r="H34">
        <v>65953</v>
      </c>
      <c r="I34">
        <v>66090</v>
      </c>
      <c r="J34">
        <v>66256</v>
      </c>
      <c r="K34">
        <v>66244</v>
      </c>
      <c r="L34">
        <v>66003</v>
      </c>
      <c r="M34">
        <v>66119</v>
      </c>
      <c r="N34" s="6">
        <f t="shared" si="10"/>
        <v>65897</v>
      </c>
      <c r="O34" s="6">
        <f t="shared" si="11"/>
        <v>66093.600000000006</v>
      </c>
      <c r="P34" s="4">
        <f t="shared" si="5"/>
        <v>66440</v>
      </c>
      <c r="Q34" s="7">
        <f t="shared" si="8"/>
        <v>0</v>
      </c>
      <c r="R34" s="7">
        <f t="shared" si="9"/>
        <v>0</v>
      </c>
      <c r="S34" s="7">
        <f t="shared" si="6"/>
        <v>1</v>
      </c>
      <c r="T34" t="s">
        <v>27</v>
      </c>
      <c r="U34">
        <v>68409</v>
      </c>
      <c r="V34">
        <v>66458</v>
      </c>
      <c r="W34">
        <v>65688</v>
      </c>
      <c r="X34">
        <v>66309</v>
      </c>
      <c r="Y34">
        <v>65957</v>
      </c>
      <c r="Z34">
        <v>66062</v>
      </c>
      <c r="AA34">
        <v>66043</v>
      </c>
      <c r="AB34">
        <v>65957</v>
      </c>
      <c r="AC34">
        <v>65845</v>
      </c>
      <c r="AD34">
        <v>65825</v>
      </c>
      <c r="AE34">
        <v>65903</v>
      </c>
      <c r="AF34">
        <f t="shared" si="3"/>
        <v>65688</v>
      </c>
      <c r="AG34">
        <f t="shared" si="4"/>
        <v>66004.7</v>
      </c>
      <c r="AH34">
        <f t="shared" si="7"/>
        <v>66458</v>
      </c>
    </row>
    <row r="35" spans="1:34" x14ac:dyDescent="0.3">
      <c r="A35">
        <v>33</v>
      </c>
      <c r="B35" t="s">
        <v>28</v>
      </c>
      <c r="C35">
        <v>107866</v>
      </c>
      <c r="D35">
        <v>107646</v>
      </c>
      <c r="E35">
        <v>107661</v>
      </c>
      <c r="F35">
        <v>107622</v>
      </c>
      <c r="G35">
        <v>107651</v>
      </c>
      <c r="H35">
        <v>107648</v>
      </c>
      <c r="I35">
        <v>107579</v>
      </c>
      <c r="J35">
        <v>107629</v>
      </c>
      <c r="K35">
        <v>107618</v>
      </c>
      <c r="L35">
        <v>107531</v>
      </c>
      <c r="M35">
        <v>107610</v>
      </c>
      <c r="N35" s="6">
        <f t="shared" si="10"/>
        <v>107531</v>
      </c>
      <c r="O35" s="6">
        <f t="shared" si="11"/>
        <v>107619.5</v>
      </c>
      <c r="P35" s="6">
        <f t="shared" si="5"/>
        <v>107661</v>
      </c>
      <c r="Q35" s="7">
        <f t="shared" si="8"/>
        <v>0</v>
      </c>
      <c r="R35" s="7">
        <f t="shared" si="9"/>
        <v>0</v>
      </c>
      <c r="S35" s="7">
        <f t="shared" si="6"/>
        <v>0</v>
      </c>
      <c r="T35" t="s">
        <v>28</v>
      </c>
      <c r="U35">
        <v>107866</v>
      </c>
      <c r="V35">
        <v>107591</v>
      </c>
      <c r="W35">
        <v>107593</v>
      </c>
      <c r="X35">
        <v>107609</v>
      </c>
      <c r="Y35">
        <v>107630</v>
      </c>
      <c r="Z35">
        <v>107393</v>
      </c>
      <c r="AA35">
        <v>107617</v>
      </c>
      <c r="AB35">
        <v>107390</v>
      </c>
      <c r="AC35">
        <v>107595</v>
      </c>
      <c r="AD35">
        <v>107570</v>
      </c>
      <c r="AE35">
        <v>107511</v>
      </c>
      <c r="AF35">
        <f t="shared" si="3"/>
        <v>107390</v>
      </c>
      <c r="AG35">
        <f t="shared" si="4"/>
        <v>107549.9</v>
      </c>
      <c r="AH35">
        <f t="shared" si="7"/>
        <v>107630</v>
      </c>
    </row>
    <row r="36" spans="1:34" x14ac:dyDescent="0.3">
      <c r="A36">
        <v>34</v>
      </c>
      <c r="B36" t="s">
        <v>29</v>
      </c>
      <c r="C36">
        <v>157732</v>
      </c>
      <c r="D36">
        <v>152029</v>
      </c>
      <c r="E36">
        <v>151218</v>
      </c>
      <c r="F36">
        <v>152174</v>
      </c>
      <c r="G36">
        <v>152348</v>
      </c>
      <c r="H36">
        <v>151965</v>
      </c>
      <c r="I36">
        <v>152391</v>
      </c>
      <c r="J36">
        <v>151864</v>
      </c>
      <c r="K36">
        <v>152180</v>
      </c>
      <c r="L36">
        <v>151766</v>
      </c>
      <c r="M36">
        <v>151537</v>
      </c>
      <c r="N36" s="6">
        <f t="shared" si="10"/>
        <v>151218</v>
      </c>
      <c r="O36" s="4">
        <f t="shared" si="11"/>
        <v>151947.20000000001</v>
      </c>
      <c r="P36" s="4">
        <f t="shared" si="5"/>
        <v>152391</v>
      </c>
      <c r="Q36" s="7">
        <f t="shared" si="8"/>
        <v>0</v>
      </c>
      <c r="R36" s="7">
        <f t="shared" si="9"/>
        <v>1</v>
      </c>
      <c r="S36" s="7">
        <f t="shared" si="6"/>
        <v>1</v>
      </c>
      <c r="T36" t="s">
        <v>29</v>
      </c>
      <c r="U36">
        <v>157732</v>
      </c>
      <c r="V36">
        <v>151350</v>
      </c>
      <c r="W36">
        <v>151734</v>
      </c>
      <c r="X36">
        <v>150705</v>
      </c>
      <c r="Y36">
        <v>152826</v>
      </c>
      <c r="Z36">
        <v>152978</v>
      </c>
      <c r="AA36">
        <v>151857</v>
      </c>
      <c r="AB36">
        <v>152728</v>
      </c>
      <c r="AC36">
        <v>152691</v>
      </c>
      <c r="AD36">
        <v>151635</v>
      </c>
      <c r="AE36">
        <v>151376</v>
      </c>
      <c r="AF36">
        <f t="shared" si="3"/>
        <v>150705</v>
      </c>
      <c r="AG36">
        <f t="shared" si="4"/>
        <v>151988</v>
      </c>
      <c r="AH36">
        <f t="shared" si="7"/>
        <v>152978</v>
      </c>
    </row>
    <row r="37" spans="1:34" x14ac:dyDescent="0.3">
      <c r="A37">
        <v>35</v>
      </c>
      <c r="B37" t="s">
        <v>30</v>
      </c>
      <c r="C37">
        <v>86233</v>
      </c>
      <c r="D37">
        <v>84995</v>
      </c>
      <c r="E37">
        <v>84897</v>
      </c>
      <c r="F37">
        <v>84775</v>
      </c>
      <c r="G37">
        <v>84553</v>
      </c>
      <c r="H37">
        <v>85263</v>
      </c>
      <c r="I37">
        <v>84674</v>
      </c>
      <c r="J37">
        <v>85272</v>
      </c>
      <c r="K37">
        <v>84628</v>
      </c>
      <c r="L37">
        <v>84751</v>
      </c>
      <c r="M37">
        <v>84694</v>
      </c>
      <c r="N37" s="4">
        <f t="shared" si="10"/>
        <v>84553</v>
      </c>
      <c r="O37" s="4">
        <f t="shared" si="11"/>
        <v>84850.2</v>
      </c>
      <c r="P37" s="6">
        <f t="shared" si="5"/>
        <v>85272</v>
      </c>
      <c r="Q37" s="7">
        <f t="shared" si="8"/>
        <v>1</v>
      </c>
      <c r="R37" s="7">
        <f t="shared" si="9"/>
        <v>1</v>
      </c>
      <c r="S37" s="7">
        <f t="shared" si="6"/>
        <v>0</v>
      </c>
      <c r="T37" t="s">
        <v>30</v>
      </c>
      <c r="U37">
        <v>86233</v>
      </c>
      <c r="V37">
        <v>84907</v>
      </c>
      <c r="W37">
        <v>84729</v>
      </c>
      <c r="X37">
        <v>85007</v>
      </c>
      <c r="Y37">
        <v>84890</v>
      </c>
      <c r="Z37">
        <v>84785</v>
      </c>
      <c r="AA37">
        <v>84968</v>
      </c>
      <c r="AB37">
        <v>84658</v>
      </c>
      <c r="AC37">
        <v>85009</v>
      </c>
      <c r="AD37">
        <v>85057</v>
      </c>
      <c r="AE37">
        <v>85013</v>
      </c>
      <c r="AF37">
        <f t="shared" si="3"/>
        <v>84658</v>
      </c>
      <c r="AG37">
        <f t="shared" si="4"/>
        <v>84902.3</v>
      </c>
      <c r="AH37">
        <f t="shared" si="7"/>
        <v>85057</v>
      </c>
    </row>
    <row r="38" spans="1:34" x14ac:dyDescent="0.3">
      <c r="A38">
        <v>36</v>
      </c>
      <c r="B38" t="s">
        <v>31</v>
      </c>
      <c r="C38">
        <v>46356</v>
      </c>
      <c r="D38">
        <v>44995</v>
      </c>
      <c r="E38">
        <v>44973</v>
      </c>
      <c r="F38">
        <v>44957</v>
      </c>
      <c r="G38">
        <v>44888</v>
      </c>
      <c r="H38">
        <v>44972</v>
      </c>
      <c r="I38">
        <v>45167</v>
      </c>
      <c r="J38">
        <v>44941</v>
      </c>
      <c r="K38">
        <v>44597</v>
      </c>
      <c r="L38">
        <v>44773</v>
      </c>
      <c r="M38">
        <v>45329</v>
      </c>
      <c r="N38" s="4">
        <f t="shared" si="10"/>
        <v>44597</v>
      </c>
      <c r="O38" s="4">
        <f t="shared" si="11"/>
        <v>44959.199999999997</v>
      </c>
      <c r="P38" s="6">
        <f t="shared" si="5"/>
        <v>45329</v>
      </c>
      <c r="Q38" s="7">
        <f t="shared" si="8"/>
        <v>1</v>
      </c>
      <c r="R38" s="7">
        <f t="shared" si="9"/>
        <v>1</v>
      </c>
      <c r="S38" s="7">
        <f t="shared" si="6"/>
        <v>0</v>
      </c>
      <c r="T38" t="s">
        <v>31</v>
      </c>
      <c r="U38">
        <v>46356</v>
      </c>
      <c r="V38">
        <v>44814</v>
      </c>
      <c r="W38">
        <v>45115</v>
      </c>
      <c r="X38">
        <v>45161</v>
      </c>
      <c r="Y38">
        <v>45242</v>
      </c>
      <c r="Z38">
        <v>44773</v>
      </c>
      <c r="AA38">
        <v>44917</v>
      </c>
      <c r="AB38">
        <v>44989</v>
      </c>
      <c r="AC38">
        <v>45226</v>
      </c>
      <c r="AD38">
        <v>44757</v>
      </c>
      <c r="AE38">
        <v>45153</v>
      </c>
      <c r="AF38">
        <f t="shared" si="3"/>
        <v>44757</v>
      </c>
      <c r="AG38">
        <f t="shared" si="4"/>
        <v>45014.7</v>
      </c>
      <c r="AH38">
        <f t="shared" si="7"/>
        <v>45242</v>
      </c>
    </row>
    <row r="39" spans="1:34" x14ac:dyDescent="0.3">
      <c r="A39">
        <v>37</v>
      </c>
      <c r="B39" t="s">
        <v>32</v>
      </c>
      <c r="C39">
        <v>139891</v>
      </c>
      <c r="D39">
        <v>139258</v>
      </c>
      <c r="E39">
        <v>139605</v>
      </c>
      <c r="F39">
        <v>139607</v>
      </c>
      <c r="G39">
        <v>139671</v>
      </c>
      <c r="H39">
        <v>139614</v>
      </c>
      <c r="I39">
        <v>139381</v>
      </c>
      <c r="J39">
        <v>139415</v>
      </c>
      <c r="K39">
        <v>139281</v>
      </c>
      <c r="L39">
        <v>139418</v>
      </c>
      <c r="M39">
        <v>139539</v>
      </c>
      <c r="N39" s="6">
        <f t="shared" si="10"/>
        <v>139258</v>
      </c>
      <c r="O39" s="4">
        <f t="shared" si="11"/>
        <v>139478.9</v>
      </c>
      <c r="P39" s="6">
        <f t="shared" si="5"/>
        <v>139671</v>
      </c>
      <c r="Q39" s="7">
        <f t="shared" si="8"/>
        <v>0</v>
      </c>
      <c r="R39" s="7">
        <f t="shared" si="9"/>
        <v>1</v>
      </c>
      <c r="S39" s="7">
        <f t="shared" si="6"/>
        <v>0</v>
      </c>
      <c r="T39" t="s">
        <v>32</v>
      </c>
      <c r="U39">
        <v>139891</v>
      </c>
      <c r="V39">
        <v>139619</v>
      </c>
      <c r="W39">
        <v>139558</v>
      </c>
      <c r="X39">
        <v>139527</v>
      </c>
      <c r="Y39">
        <v>139407</v>
      </c>
      <c r="Z39">
        <v>139627</v>
      </c>
      <c r="AA39">
        <v>139616</v>
      </c>
      <c r="AB39">
        <v>139257</v>
      </c>
      <c r="AC39">
        <v>139587</v>
      </c>
      <c r="AD39">
        <v>139569</v>
      </c>
      <c r="AE39">
        <v>139613</v>
      </c>
      <c r="AF39">
        <f t="shared" si="3"/>
        <v>139257</v>
      </c>
      <c r="AG39">
        <f t="shared" si="4"/>
        <v>139538</v>
      </c>
      <c r="AH39">
        <f t="shared" si="7"/>
        <v>139627</v>
      </c>
    </row>
    <row r="40" spans="1:34" x14ac:dyDescent="0.3">
      <c r="A40">
        <v>38</v>
      </c>
      <c r="B40" t="s">
        <v>33</v>
      </c>
      <c r="C40">
        <v>79482</v>
      </c>
      <c r="D40">
        <v>79338</v>
      </c>
      <c r="E40">
        <v>79380</v>
      </c>
      <c r="F40">
        <v>79288</v>
      </c>
      <c r="G40">
        <v>79362</v>
      </c>
      <c r="H40">
        <v>79266</v>
      </c>
      <c r="I40">
        <v>79277</v>
      </c>
      <c r="J40">
        <v>79343</v>
      </c>
      <c r="K40">
        <v>79292</v>
      </c>
      <c r="L40">
        <v>79279</v>
      </c>
      <c r="M40">
        <v>79281</v>
      </c>
      <c r="N40" s="6">
        <f t="shared" si="10"/>
        <v>79266</v>
      </c>
      <c r="O40" s="6">
        <f t="shared" si="11"/>
        <v>79310.600000000006</v>
      </c>
      <c r="P40" s="6">
        <f t="shared" si="5"/>
        <v>79380</v>
      </c>
      <c r="Q40" s="7">
        <f t="shared" si="8"/>
        <v>0</v>
      </c>
      <c r="R40" s="7">
        <f t="shared" si="9"/>
        <v>0</v>
      </c>
      <c r="S40" s="7">
        <f t="shared" si="6"/>
        <v>0</v>
      </c>
      <c r="T40" t="s">
        <v>33</v>
      </c>
      <c r="U40">
        <v>79482</v>
      </c>
      <c r="V40">
        <v>79281</v>
      </c>
      <c r="W40">
        <v>79283</v>
      </c>
      <c r="X40">
        <v>79330</v>
      </c>
      <c r="Y40">
        <v>79371</v>
      </c>
      <c r="Z40">
        <v>79313</v>
      </c>
      <c r="AA40">
        <v>79374</v>
      </c>
      <c r="AB40">
        <v>79249</v>
      </c>
      <c r="AC40">
        <v>79250</v>
      </c>
      <c r="AD40">
        <v>79264</v>
      </c>
      <c r="AE40">
        <v>79322</v>
      </c>
      <c r="AF40">
        <f t="shared" si="3"/>
        <v>79249</v>
      </c>
      <c r="AG40">
        <f t="shared" si="4"/>
        <v>79303.7</v>
      </c>
      <c r="AH40">
        <f t="shared" si="7"/>
        <v>79374</v>
      </c>
    </row>
    <row r="41" spans="1:34" x14ac:dyDescent="0.3">
      <c r="A41">
        <v>39</v>
      </c>
      <c r="B41" t="s">
        <v>34</v>
      </c>
      <c r="C41">
        <v>119426</v>
      </c>
      <c r="D41">
        <v>118341</v>
      </c>
      <c r="E41">
        <v>118287</v>
      </c>
      <c r="F41">
        <v>118550</v>
      </c>
      <c r="G41">
        <v>117911</v>
      </c>
      <c r="H41">
        <v>117775</v>
      </c>
      <c r="I41">
        <v>118311</v>
      </c>
      <c r="J41">
        <v>118124</v>
      </c>
      <c r="K41">
        <v>117980</v>
      </c>
      <c r="L41">
        <v>118164</v>
      </c>
      <c r="M41">
        <v>118433</v>
      </c>
      <c r="N41" s="6">
        <f t="shared" si="10"/>
        <v>117775</v>
      </c>
      <c r="O41" s="6">
        <f t="shared" si="11"/>
        <v>118187.6</v>
      </c>
      <c r="P41" s="4">
        <f t="shared" si="5"/>
        <v>118550</v>
      </c>
      <c r="Q41" s="7">
        <f t="shared" si="8"/>
        <v>0</v>
      </c>
      <c r="R41" s="7">
        <f t="shared" si="9"/>
        <v>0</v>
      </c>
      <c r="S41" s="7">
        <f t="shared" si="6"/>
        <v>1</v>
      </c>
      <c r="T41" t="s">
        <v>34</v>
      </c>
      <c r="U41">
        <v>119426</v>
      </c>
      <c r="V41">
        <v>117741</v>
      </c>
      <c r="W41">
        <v>118361</v>
      </c>
      <c r="X41">
        <v>118300</v>
      </c>
      <c r="Y41">
        <v>118380</v>
      </c>
      <c r="Z41">
        <v>118434</v>
      </c>
      <c r="AA41">
        <v>118556</v>
      </c>
      <c r="AB41">
        <v>118119</v>
      </c>
      <c r="AC41">
        <v>117893</v>
      </c>
      <c r="AD41">
        <v>117880</v>
      </c>
      <c r="AE41">
        <v>118170</v>
      </c>
      <c r="AF41">
        <f t="shared" si="3"/>
        <v>117741</v>
      </c>
      <c r="AG41">
        <f t="shared" si="4"/>
        <v>118183.4</v>
      </c>
      <c r="AH41">
        <f t="shared" si="7"/>
        <v>118556</v>
      </c>
    </row>
    <row r="42" spans="1:34" x14ac:dyDescent="0.3">
      <c r="P42" t="s">
        <v>51</v>
      </c>
      <c r="Q42" s="7">
        <f>SUM(Q12:Q41)</f>
        <v>15</v>
      </c>
      <c r="R42" s="7">
        <f>SUM(R12:R41)</f>
        <v>17</v>
      </c>
      <c r="S42" s="7">
        <f>SUM(S3:S41)</f>
        <v>18</v>
      </c>
    </row>
    <row r="43" spans="1:34" x14ac:dyDescent="0.3">
      <c r="Q43" s="7">
        <v>40</v>
      </c>
      <c r="R43" s="7">
        <v>40</v>
      </c>
      <c r="S43" s="7">
        <v>40</v>
      </c>
    </row>
    <row r="48" spans="1:34" x14ac:dyDescent="0.3">
      <c r="L48" t="s">
        <v>20</v>
      </c>
      <c r="M48" t="s">
        <v>34</v>
      </c>
      <c r="N48">
        <v>119426</v>
      </c>
      <c r="O48">
        <v>117741</v>
      </c>
      <c r="P48">
        <v>118361</v>
      </c>
      <c r="Q48">
        <v>118300</v>
      </c>
      <c r="R48">
        <v>118380</v>
      </c>
      <c r="S48">
        <v>118434</v>
      </c>
      <c r="T48">
        <v>118556</v>
      </c>
      <c r="U48">
        <v>118119</v>
      </c>
      <c r="V48">
        <v>117893</v>
      </c>
      <c r="W48">
        <v>117880</v>
      </c>
      <c r="X48">
        <v>118170</v>
      </c>
    </row>
    <row r="130" spans="20:21" x14ac:dyDescent="0.3">
      <c r="T130">
        <v>20</v>
      </c>
      <c r="U130">
        <v>5</v>
      </c>
    </row>
    <row r="190" spans="20:30" x14ac:dyDescent="0.3">
      <c r="T190" s="2" t="s">
        <v>2</v>
      </c>
      <c r="U190" s="2">
        <v>1234</v>
      </c>
      <c r="V190" s="2">
        <v>1729</v>
      </c>
      <c r="W190" s="2">
        <v>2310</v>
      </c>
      <c r="X190" s="2">
        <v>3103</v>
      </c>
      <c r="Y190" s="2">
        <v>9999</v>
      </c>
      <c r="Z190" s="2">
        <v>4200</v>
      </c>
      <c r="AA190" s="2">
        <v>5544</v>
      </c>
      <c r="AB190" s="2">
        <v>7788</v>
      </c>
      <c r="AC190" s="2">
        <v>8080</v>
      </c>
      <c r="AD190" s="2">
        <v>6000</v>
      </c>
    </row>
  </sheetData>
  <pageMargins left="0.7" right="0.7" top="0.75" bottom="0.75" header="0.3" footer="0.3"/>
  <ignoredErrors>
    <ignoredError sqref="N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8570-C08C-49FF-9173-100E1CF992FC}">
  <dimension ref="B2:M43"/>
  <sheetViews>
    <sheetView tabSelected="1" topLeftCell="A7" zoomScale="75" workbookViewId="0">
      <selection activeCell="S34" sqref="S34"/>
    </sheetView>
  </sheetViews>
  <sheetFormatPr defaultRowHeight="14.4" x14ac:dyDescent="0.3"/>
  <cols>
    <col min="3" max="3" width="11.33203125" bestFit="1" customWidth="1"/>
    <col min="4" max="4" width="7.6640625" customWidth="1"/>
    <col min="5" max="8" width="7.21875" bestFit="1" customWidth="1"/>
    <col min="9" max="10" width="9.33203125" bestFit="1" customWidth="1"/>
    <col min="11" max="11" width="8.33203125" customWidth="1"/>
    <col min="12" max="12" width="6.77734375" bestFit="1" customWidth="1"/>
    <col min="13" max="13" width="7" bestFit="1" customWidth="1"/>
  </cols>
  <sheetData>
    <row r="2" spans="2:13" x14ac:dyDescent="0.3">
      <c r="B2" s="8" t="s">
        <v>54</v>
      </c>
      <c r="C2" s="9" t="s">
        <v>52</v>
      </c>
      <c r="D2" s="10" t="s">
        <v>57</v>
      </c>
      <c r="E2" s="9" t="s">
        <v>58</v>
      </c>
      <c r="F2" s="9"/>
      <c r="G2" s="9" t="s">
        <v>59</v>
      </c>
      <c r="H2" s="9"/>
      <c r="I2" s="9" t="s">
        <v>60</v>
      </c>
      <c r="J2" s="9"/>
      <c r="K2" s="10" t="s">
        <v>53</v>
      </c>
      <c r="L2" s="9" t="s">
        <v>61</v>
      </c>
      <c r="M2" s="9"/>
    </row>
    <row r="3" spans="2:13" x14ac:dyDescent="0.3">
      <c r="B3" s="8"/>
      <c r="C3" s="9"/>
      <c r="D3" s="10"/>
      <c r="E3" s="11" t="s">
        <v>55</v>
      </c>
      <c r="F3" s="11" t="s">
        <v>56</v>
      </c>
      <c r="G3" s="11" t="s">
        <v>55</v>
      </c>
      <c r="H3" s="11" t="s">
        <v>56</v>
      </c>
      <c r="I3" s="11" t="s">
        <v>55</v>
      </c>
      <c r="J3" s="11" t="s">
        <v>56</v>
      </c>
      <c r="K3" s="10"/>
      <c r="L3" s="11" t="s">
        <v>55</v>
      </c>
      <c r="M3" s="11" t="s">
        <v>56</v>
      </c>
    </row>
    <row r="4" spans="2:13" x14ac:dyDescent="0.3">
      <c r="B4">
        <v>1</v>
      </c>
      <c r="C4" s="11" t="s">
        <v>46</v>
      </c>
      <c r="D4" s="11">
        <v>703</v>
      </c>
      <c r="E4" s="11">
        <v>661</v>
      </c>
      <c r="F4" s="11">
        <v>661</v>
      </c>
      <c r="G4" s="11">
        <v>661</v>
      </c>
      <c r="H4" s="11">
        <v>661</v>
      </c>
      <c r="I4" s="11">
        <v>661</v>
      </c>
      <c r="J4" s="11">
        <v>661</v>
      </c>
      <c r="K4" s="11">
        <v>661</v>
      </c>
      <c r="L4" s="12">
        <f>-(K4-E4)*100/K4</f>
        <v>0</v>
      </c>
      <c r="M4" s="12">
        <f>-(K4-F4)*100/K4</f>
        <v>0</v>
      </c>
    </row>
    <row r="5" spans="2:13" x14ac:dyDescent="0.3">
      <c r="B5">
        <v>2</v>
      </c>
      <c r="C5" s="11" t="s">
        <v>45</v>
      </c>
      <c r="D5" s="11">
        <v>974</v>
      </c>
      <c r="E5" s="11">
        <v>937</v>
      </c>
      <c r="F5" s="11">
        <v>937</v>
      </c>
      <c r="G5" s="11">
        <v>939</v>
      </c>
      <c r="H5" s="11">
        <v>939</v>
      </c>
      <c r="I5" s="11">
        <v>937.6</v>
      </c>
      <c r="J5" s="11">
        <v>937.4</v>
      </c>
      <c r="K5" s="11">
        <v>937</v>
      </c>
      <c r="L5" s="12">
        <f t="shared" ref="L5:L42" si="0">-(K5-E5)*100/K5</f>
        <v>0</v>
      </c>
      <c r="M5" s="12">
        <f t="shared" ref="M5:M42" si="1">-(K5-F5)*100/K5</f>
        <v>0</v>
      </c>
    </row>
    <row r="6" spans="2:13" x14ac:dyDescent="0.3">
      <c r="B6">
        <v>3</v>
      </c>
      <c r="C6" s="11" t="s">
        <v>44</v>
      </c>
      <c r="D6" s="11">
        <v>1183</v>
      </c>
      <c r="E6" s="11">
        <v>1167</v>
      </c>
      <c r="F6" s="11">
        <v>1167</v>
      </c>
      <c r="G6" s="11">
        <v>1181</v>
      </c>
      <c r="H6" s="11">
        <v>1172</v>
      </c>
      <c r="I6" s="11">
        <v>1168.9000000000001</v>
      </c>
      <c r="J6" s="11">
        <v>1168.5</v>
      </c>
      <c r="K6" s="11">
        <v>1167</v>
      </c>
      <c r="L6" s="12">
        <f t="shared" si="0"/>
        <v>0</v>
      </c>
      <c r="M6" s="12">
        <f t="shared" si="1"/>
        <v>0</v>
      </c>
    </row>
    <row r="7" spans="2:13" x14ac:dyDescent="0.3">
      <c r="B7">
        <v>4</v>
      </c>
      <c r="C7" s="11" t="s">
        <v>43</v>
      </c>
      <c r="D7" s="11">
        <v>1182</v>
      </c>
      <c r="E7" s="11">
        <v>1164</v>
      </c>
      <c r="F7" s="11">
        <v>1164</v>
      </c>
      <c r="G7" s="11">
        <v>1165</v>
      </c>
      <c r="H7" s="11">
        <v>1165</v>
      </c>
      <c r="I7" s="11">
        <v>1164.5</v>
      </c>
      <c r="J7" s="11">
        <v>1164.4000000000001</v>
      </c>
      <c r="K7" s="11">
        <v>1159</v>
      </c>
      <c r="L7" s="12">
        <f t="shared" si="0"/>
        <v>0.43140638481449528</v>
      </c>
      <c r="M7" s="12">
        <f t="shared" si="1"/>
        <v>0.43140638481449528</v>
      </c>
    </row>
    <row r="8" spans="2:13" x14ac:dyDescent="0.3">
      <c r="B8">
        <v>5</v>
      </c>
      <c r="C8" s="11" t="s">
        <v>42</v>
      </c>
      <c r="D8" s="11">
        <v>1815</v>
      </c>
      <c r="E8" s="11">
        <v>1783</v>
      </c>
      <c r="F8" s="11">
        <v>1778</v>
      </c>
      <c r="G8" s="11">
        <v>1804</v>
      </c>
      <c r="H8" s="11">
        <v>1813</v>
      </c>
      <c r="I8" s="11">
        <v>1794.8</v>
      </c>
      <c r="J8" s="11">
        <v>1793.2</v>
      </c>
      <c r="K8" s="11">
        <v>1763</v>
      </c>
      <c r="L8" s="12">
        <f t="shared" si="0"/>
        <v>1.1344299489506522</v>
      </c>
      <c r="M8" s="12">
        <f t="shared" si="1"/>
        <v>0.85082246171298925</v>
      </c>
    </row>
    <row r="9" spans="2:13" x14ac:dyDescent="0.3">
      <c r="B9">
        <v>6</v>
      </c>
      <c r="C9" s="11" t="s">
        <v>41</v>
      </c>
      <c r="D9" s="11">
        <v>833</v>
      </c>
      <c r="E9" s="11">
        <v>820</v>
      </c>
      <c r="F9" s="11">
        <v>820</v>
      </c>
      <c r="G9" s="11">
        <v>820</v>
      </c>
      <c r="H9" s="11">
        <v>820</v>
      </c>
      <c r="I9" s="11">
        <v>820</v>
      </c>
      <c r="J9" s="11">
        <v>820</v>
      </c>
      <c r="K9" s="11">
        <v>820</v>
      </c>
      <c r="L9" s="12">
        <f t="shared" si="0"/>
        <v>0</v>
      </c>
      <c r="M9" s="12">
        <f t="shared" si="1"/>
        <v>0</v>
      </c>
    </row>
    <row r="10" spans="2:13" x14ac:dyDescent="0.3">
      <c r="B10">
        <v>7</v>
      </c>
      <c r="C10" s="11" t="s">
        <v>40</v>
      </c>
      <c r="D10" s="11">
        <v>1050</v>
      </c>
      <c r="E10" s="11">
        <v>1034</v>
      </c>
      <c r="F10" s="11">
        <v>1034</v>
      </c>
      <c r="G10" s="11">
        <v>1035</v>
      </c>
      <c r="H10" s="11">
        <v>1035</v>
      </c>
      <c r="I10" s="11">
        <v>1034.0999999999999</v>
      </c>
      <c r="J10" s="11">
        <v>1034.0999999999999</v>
      </c>
      <c r="K10" s="11">
        <v>1034</v>
      </c>
      <c r="L10" s="12">
        <f t="shared" si="0"/>
        <v>0</v>
      </c>
      <c r="M10" s="12">
        <f t="shared" si="1"/>
        <v>0</v>
      </c>
    </row>
    <row r="11" spans="2:13" x14ac:dyDescent="0.3">
      <c r="B11">
        <v>8</v>
      </c>
      <c r="C11" s="11" t="s">
        <v>39</v>
      </c>
      <c r="D11" s="11">
        <v>1103</v>
      </c>
      <c r="E11" s="11">
        <v>1025</v>
      </c>
      <c r="F11" s="11">
        <v>1025</v>
      </c>
      <c r="G11" s="11">
        <v>1048</v>
      </c>
      <c r="H11" s="11">
        <v>1033</v>
      </c>
      <c r="I11" s="11">
        <v>1034.7</v>
      </c>
      <c r="J11" s="11">
        <v>1029.4000000000001</v>
      </c>
      <c r="K11" s="11">
        <v>1015</v>
      </c>
      <c r="L11" s="12">
        <f t="shared" si="0"/>
        <v>0.98522167487684731</v>
      </c>
      <c r="M11" s="12">
        <f t="shared" si="1"/>
        <v>0.98522167487684731</v>
      </c>
    </row>
    <row r="12" spans="2:13" x14ac:dyDescent="0.3">
      <c r="B12">
        <v>9</v>
      </c>
      <c r="C12" s="11" t="s">
        <v>38</v>
      </c>
      <c r="D12" s="11">
        <v>1408</v>
      </c>
      <c r="E12" s="11">
        <v>1297</v>
      </c>
      <c r="F12" s="11">
        <v>1298</v>
      </c>
      <c r="G12" s="11">
        <v>1315</v>
      </c>
      <c r="H12" s="11">
        <v>1321</v>
      </c>
      <c r="I12" s="11">
        <v>1306.4000000000001</v>
      </c>
      <c r="J12" s="11">
        <v>1307.2</v>
      </c>
      <c r="K12" s="11">
        <v>1274</v>
      </c>
      <c r="L12" s="12">
        <f t="shared" si="0"/>
        <v>1.805337519623234</v>
      </c>
      <c r="M12" s="12">
        <f t="shared" si="1"/>
        <v>1.8838304552590266</v>
      </c>
    </row>
    <row r="13" spans="2:13" x14ac:dyDescent="0.3">
      <c r="B13">
        <v>10</v>
      </c>
      <c r="C13" s="11" t="s">
        <v>10</v>
      </c>
      <c r="D13" s="11">
        <v>32509</v>
      </c>
      <c r="E13" s="11">
        <v>30863</v>
      </c>
      <c r="F13" s="11">
        <v>30986</v>
      </c>
      <c r="G13" s="11">
        <v>31405</v>
      </c>
      <c r="H13" s="11">
        <v>31560</v>
      </c>
      <c r="I13" s="11">
        <v>31167.7</v>
      </c>
      <c r="J13" s="11">
        <v>31236.6</v>
      </c>
      <c r="K13" s="11">
        <v>30656</v>
      </c>
      <c r="L13" s="12">
        <f t="shared" si="0"/>
        <v>0.67523486430062629</v>
      </c>
      <c r="M13" s="12">
        <f t="shared" si="1"/>
        <v>1.0764613778705636</v>
      </c>
    </row>
    <row r="14" spans="2:13" x14ac:dyDescent="0.3">
      <c r="B14">
        <v>11</v>
      </c>
      <c r="C14" s="11" t="s">
        <v>11</v>
      </c>
      <c r="D14" s="11">
        <v>42365</v>
      </c>
      <c r="E14" s="11">
        <v>40780</v>
      </c>
      <c r="F14" s="11">
        <v>40887</v>
      </c>
      <c r="G14" s="11">
        <v>41241</v>
      </c>
      <c r="H14" s="11">
        <v>41286</v>
      </c>
      <c r="I14" s="11">
        <v>41020.6</v>
      </c>
      <c r="J14" s="11">
        <v>41124.800000000003</v>
      </c>
      <c r="K14" s="11">
        <v>40437</v>
      </c>
      <c r="L14" s="12">
        <f t="shared" si="0"/>
        <v>0.84823305388629222</v>
      </c>
      <c r="M14" s="12">
        <f t="shared" si="1"/>
        <v>1.1128421989761852</v>
      </c>
    </row>
    <row r="15" spans="2:13" x14ac:dyDescent="0.3">
      <c r="B15">
        <v>12</v>
      </c>
      <c r="C15" s="11" t="s">
        <v>12</v>
      </c>
      <c r="D15" s="11">
        <v>85355</v>
      </c>
      <c r="E15" s="11">
        <v>83793</v>
      </c>
      <c r="F15" s="11">
        <v>83874</v>
      </c>
      <c r="G15" s="11">
        <v>84507</v>
      </c>
      <c r="H15" s="11">
        <v>84644</v>
      </c>
      <c r="I15" s="11">
        <v>84119.2</v>
      </c>
      <c r="J15" s="11">
        <v>84252.4</v>
      </c>
      <c r="K15" s="11">
        <v>82751</v>
      </c>
      <c r="L15" s="12">
        <f t="shared" si="0"/>
        <v>1.2591992846007902</v>
      </c>
      <c r="M15" s="12">
        <f t="shared" si="1"/>
        <v>1.3570832980870322</v>
      </c>
    </row>
    <row r="16" spans="2:13" x14ac:dyDescent="0.3">
      <c r="B16">
        <v>13</v>
      </c>
      <c r="C16" s="11" t="s">
        <v>13</v>
      </c>
      <c r="D16" s="11">
        <v>36684</v>
      </c>
      <c r="E16" s="11">
        <v>35739</v>
      </c>
      <c r="F16" s="11">
        <v>35723</v>
      </c>
      <c r="G16" s="11">
        <v>35912</v>
      </c>
      <c r="H16" s="11">
        <v>35944</v>
      </c>
      <c r="I16" s="11">
        <v>35808.300000000003</v>
      </c>
      <c r="J16" s="11">
        <v>35824.6</v>
      </c>
      <c r="K16" s="11">
        <v>35291</v>
      </c>
      <c r="L16" s="12">
        <f t="shared" si="0"/>
        <v>1.2694454676829787</v>
      </c>
      <c r="M16" s="12">
        <f t="shared" si="1"/>
        <v>1.2241081295514438</v>
      </c>
    </row>
    <row r="17" spans="2:13" x14ac:dyDescent="0.3">
      <c r="B17">
        <v>14</v>
      </c>
      <c r="C17" s="11" t="s">
        <v>14</v>
      </c>
      <c r="D17" s="11">
        <v>35995</v>
      </c>
      <c r="E17" s="11">
        <v>35095</v>
      </c>
      <c r="F17" s="11">
        <v>35036</v>
      </c>
      <c r="G17" s="11">
        <v>35479</v>
      </c>
      <c r="H17" s="11">
        <v>35375</v>
      </c>
      <c r="I17" s="11">
        <v>35260.400000000001</v>
      </c>
      <c r="J17" s="11">
        <v>35179.599999999999</v>
      </c>
      <c r="K17" s="11">
        <v>34231</v>
      </c>
      <c r="L17" s="12">
        <f t="shared" si="0"/>
        <v>2.5240279279016096</v>
      </c>
      <c r="M17" s="12">
        <f t="shared" si="1"/>
        <v>2.3516695393064766</v>
      </c>
    </row>
    <row r="18" spans="2:13" x14ac:dyDescent="0.3">
      <c r="B18">
        <v>15</v>
      </c>
      <c r="C18" s="11" t="s">
        <v>15</v>
      </c>
      <c r="D18" s="11">
        <v>97669</v>
      </c>
      <c r="E18" s="11">
        <v>95700</v>
      </c>
      <c r="F18" s="11">
        <v>95688</v>
      </c>
      <c r="G18" s="11">
        <v>96435</v>
      </c>
      <c r="H18" s="11">
        <v>96735</v>
      </c>
      <c r="I18" s="11">
        <v>96089.7</v>
      </c>
      <c r="J18" s="11">
        <v>96148.3</v>
      </c>
      <c r="K18" s="11">
        <v>94043</v>
      </c>
      <c r="L18" s="12">
        <f t="shared" si="0"/>
        <v>1.761959954488904</v>
      </c>
      <c r="M18" s="12">
        <f t="shared" si="1"/>
        <v>1.7491998341184352</v>
      </c>
    </row>
    <row r="19" spans="2:13" x14ac:dyDescent="0.3">
      <c r="B19">
        <v>16</v>
      </c>
      <c r="C19" s="11" t="s">
        <v>16</v>
      </c>
      <c r="D19" s="11">
        <v>34668</v>
      </c>
      <c r="E19" s="11">
        <v>31577</v>
      </c>
      <c r="F19" s="11">
        <v>31584</v>
      </c>
      <c r="G19" s="11">
        <v>32224</v>
      </c>
      <c r="H19" s="11">
        <v>32179</v>
      </c>
      <c r="I19" s="11">
        <v>31901.8</v>
      </c>
      <c r="J19" s="11">
        <v>31859</v>
      </c>
      <c r="K19" s="11">
        <v>31102</v>
      </c>
      <c r="L19" s="12">
        <f t="shared" si="0"/>
        <v>1.5272329753713587</v>
      </c>
      <c r="M19" s="12">
        <f t="shared" si="1"/>
        <v>1.5497395665873577</v>
      </c>
    </row>
    <row r="20" spans="2:13" x14ac:dyDescent="0.3">
      <c r="B20">
        <v>17</v>
      </c>
      <c r="C20" s="11" t="s">
        <v>17</v>
      </c>
      <c r="D20" s="11">
        <v>27035</v>
      </c>
      <c r="E20" s="11">
        <v>26430</v>
      </c>
      <c r="F20" s="11">
        <v>26435</v>
      </c>
      <c r="G20" s="11">
        <v>26745</v>
      </c>
      <c r="H20" s="11">
        <v>26676</v>
      </c>
      <c r="I20" s="11">
        <v>26586.400000000001</v>
      </c>
      <c r="J20" s="11">
        <v>26546.3</v>
      </c>
      <c r="K20" s="11">
        <v>25896</v>
      </c>
      <c r="L20" s="12">
        <f t="shared" si="0"/>
        <v>2.0620945319740502</v>
      </c>
      <c r="M20" s="12">
        <f t="shared" si="1"/>
        <v>2.0814025332097623</v>
      </c>
    </row>
    <row r="21" spans="2:13" x14ac:dyDescent="0.3">
      <c r="B21">
        <v>18</v>
      </c>
      <c r="C21" s="11" t="s">
        <v>18</v>
      </c>
      <c r="D21" s="11">
        <v>25360</v>
      </c>
      <c r="E21" s="11">
        <v>23085</v>
      </c>
      <c r="F21" s="11">
        <v>23103</v>
      </c>
      <c r="G21" s="11">
        <v>23337</v>
      </c>
      <c r="H21" s="11">
        <v>23362</v>
      </c>
      <c r="I21" s="11">
        <v>23255.5</v>
      </c>
      <c r="J21" s="11">
        <v>23215.5</v>
      </c>
      <c r="K21" s="11">
        <v>22814</v>
      </c>
      <c r="L21" s="12">
        <f t="shared" si="0"/>
        <v>1.1878670991496449</v>
      </c>
      <c r="M21" s="12">
        <f t="shared" si="1"/>
        <v>1.2667660208643816</v>
      </c>
    </row>
    <row r="22" spans="2:13" x14ac:dyDescent="0.3">
      <c r="B22">
        <v>19</v>
      </c>
      <c r="C22" s="11" t="s">
        <v>19</v>
      </c>
      <c r="D22" s="11">
        <v>40417</v>
      </c>
      <c r="E22" s="11">
        <v>38996</v>
      </c>
      <c r="F22" s="11">
        <v>38908</v>
      </c>
      <c r="G22" s="11">
        <v>39266</v>
      </c>
      <c r="H22" s="11">
        <v>39310</v>
      </c>
      <c r="I22" s="11">
        <v>39135.800000000003</v>
      </c>
      <c r="J22" s="11">
        <v>39145</v>
      </c>
      <c r="K22" s="11">
        <v>38260</v>
      </c>
      <c r="L22" s="12">
        <f t="shared" si="0"/>
        <v>1.9236800836382646</v>
      </c>
      <c r="M22" s="12">
        <f t="shared" si="1"/>
        <v>1.693674856246733</v>
      </c>
    </row>
    <row r="23" spans="2:13" x14ac:dyDescent="0.3">
      <c r="B23">
        <v>20</v>
      </c>
      <c r="C23" s="11" t="s">
        <v>3</v>
      </c>
      <c r="D23" s="11">
        <v>22235</v>
      </c>
      <c r="E23" s="11">
        <v>20258</v>
      </c>
      <c r="F23" s="11">
        <v>20255</v>
      </c>
      <c r="G23" s="11">
        <v>20599</v>
      </c>
      <c r="H23" s="11">
        <v>20498</v>
      </c>
      <c r="I23" s="11">
        <v>20443.8</v>
      </c>
      <c r="J23" s="11">
        <v>20396.8</v>
      </c>
      <c r="K23" s="11">
        <v>19712</v>
      </c>
      <c r="L23" s="12">
        <f t="shared" si="0"/>
        <v>2.7698863636363638</v>
      </c>
      <c r="M23" s="12">
        <f t="shared" si="1"/>
        <v>2.7546672077922079</v>
      </c>
    </row>
    <row r="24" spans="2:13" x14ac:dyDescent="0.3">
      <c r="B24">
        <v>21</v>
      </c>
      <c r="C24" s="11" t="s">
        <v>4</v>
      </c>
      <c r="D24" s="11">
        <v>112327</v>
      </c>
      <c r="E24" s="11">
        <v>109509</v>
      </c>
      <c r="F24" s="11">
        <v>109596</v>
      </c>
      <c r="G24" s="11">
        <v>110122</v>
      </c>
      <c r="H24" s="11">
        <v>110451</v>
      </c>
      <c r="I24" s="11">
        <v>109911.8</v>
      </c>
      <c r="J24" s="11">
        <v>109980.3</v>
      </c>
      <c r="K24" s="11">
        <v>107798</v>
      </c>
      <c r="L24" s="12">
        <f t="shared" si="0"/>
        <v>1.5872279634130504</v>
      </c>
      <c r="M24" s="12">
        <f t="shared" si="1"/>
        <v>1.6679344700272731</v>
      </c>
    </row>
    <row r="25" spans="2:13" x14ac:dyDescent="0.3">
      <c r="B25">
        <v>22</v>
      </c>
      <c r="C25" s="11" t="s">
        <v>5</v>
      </c>
      <c r="D25" s="11">
        <v>39005</v>
      </c>
      <c r="E25" s="11">
        <v>36735</v>
      </c>
      <c r="F25" s="11">
        <v>36775</v>
      </c>
      <c r="G25" s="11">
        <v>37215</v>
      </c>
      <c r="H25" s="11">
        <v>37355</v>
      </c>
      <c r="I25" s="11">
        <v>36979.699999999997</v>
      </c>
      <c r="J25" s="11">
        <v>37028.699999999997</v>
      </c>
      <c r="K25" s="11">
        <v>36391</v>
      </c>
      <c r="L25" s="12">
        <f t="shared" si="0"/>
        <v>0.94528867027561758</v>
      </c>
      <c r="M25" s="12">
        <f t="shared" si="1"/>
        <v>1.0552059575169686</v>
      </c>
    </row>
    <row r="26" spans="2:13" x14ac:dyDescent="0.3">
      <c r="B26">
        <v>23</v>
      </c>
      <c r="C26" s="11" t="s">
        <v>6</v>
      </c>
      <c r="D26" s="11">
        <v>234770</v>
      </c>
      <c r="E26" s="11">
        <v>225926</v>
      </c>
      <c r="F26" s="11">
        <v>226552</v>
      </c>
      <c r="G26" s="11">
        <v>228054</v>
      </c>
      <c r="H26" s="11">
        <v>227733</v>
      </c>
      <c r="I26" s="11">
        <v>226934.39999999999</v>
      </c>
      <c r="J26" s="11">
        <v>226986.1</v>
      </c>
      <c r="K26" s="11">
        <v>221824</v>
      </c>
      <c r="L26" s="12">
        <f t="shared" si="0"/>
        <v>1.8492137911136757</v>
      </c>
      <c r="M26" s="12">
        <f t="shared" si="1"/>
        <v>2.1314195037507213</v>
      </c>
    </row>
    <row r="27" spans="2:13" x14ac:dyDescent="0.3">
      <c r="B27">
        <v>24</v>
      </c>
      <c r="C27" s="11" t="s">
        <v>7</v>
      </c>
      <c r="D27" s="11">
        <v>93404</v>
      </c>
      <c r="E27" s="11">
        <v>92076</v>
      </c>
      <c r="F27" s="11">
        <v>91903</v>
      </c>
      <c r="G27" s="11">
        <v>92503</v>
      </c>
      <c r="H27" s="11">
        <v>92400</v>
      </c>
      <c r="I27" s="11">
        <v>92296.7</v>
      </c>
      <c r="J27" s="11">
        <v>92181.8</v>
      </c>
      <c r="K27" s="11">
        <v>89449</v>
      </c>
      <c r="L27" s="12">
        <f t="shared" si="0"/>
        <v>2.9368690538742745</v>
      </c>
      <c r="M27" s="12">
        <f t="shared" si="1"/>
        <v>2.7434627553130833</v>
      </c>
    </row>
    <row r="28" spans="2:13" x14ac:dyDescent="0.3">
      <c r="B28">
        <v>25</v>
      </c>
      <c r="C28" s="11" t="s">
        <v>8</v>
      </c>
      <c r="D28" s="11">
        <v>71043</v>
      </c>
      <c r="E28" s="11">
        <v>70426</v>
      </c>
      <c r="F28" s="11">
        <v>70508</v>
      </c>
      <c r="G28" s="11">
        <v>70793</v>
      </c>
      <c r="H28" s="11">
        <v>70782</v>
      </c>
      <c r="I28" s="11">
        <v>70571.8</v>
      </c>
      <c r="J28" s="11">
        <v>70614.899999999994</v>
      </c>
      <c r="K28" s="11">
        <v>69226</v>
      </c>
      <c r="L28" s="12">
        <f t="shared" si="0"/>
        <v>1.7334527489671512</v>
      </c>
      <c r="M28" s="12">
        <f t="shared" si="1"/>
        <v>1.8519053534799064</v>
      </c>
    </row>
    <row r="29" spans="2:13" x14ac:dyDescent="0.3">
      <c r="B29">
        <v>26</v>
      </c>
      <c r="C29" s="11" t="s">
        <v>21</v>
      </c>
      <c r="D29" s="11">
        <v>165672</v>
      </c>
      <c r="E29" s="11">
        <v>156272</v>
      </c>
      <c r="F29" s="11">
        <v>156035</v>
      </c>
      <c r="G29" s="11">
        <v>156978</v>
      </c>
      <c r="H29" s="11">
        <v>157834</v>
      </c>
      <c r="I29" s="11">
        <v>156531.5</v>
      </c>
      <c r="J29" s="11">
        <v>156899</v>
      </c>
      <c r="K29" s="11">
        <v>154593</v>
      </c>
      <c r="L29" s="12">
        <f t="shared" si="0"/>
        <v>1.0860776361154774</v>
      </c>
      <c r="M29" s="12">
        <f t="shared" si="1"/>
        <v>0.9327718590104338</v>
      </c>
    </row>
    <row r="30" spans="2:13" x14ac:dyDescent="0.3">
      <c r="B30">
        <v>27</v>
      </c>
      <c r="C30" s="11" t="s">
        <v>22</v>
      </c>
      <c r="D30" s="11">
        <v>89517</v>
      </c>
      <c r="E30" s="11">
        <v>88320</v>
      </c>
      <c r="F30" s="11">
        <v>88343</v>
      </c>
      <c r="G30" s="11">
        <v>88733</v>
      </c>
      <c r="H30" s="11">
        <v>88679</v>
      </c>
      <c r="I30" s="11">
        <v>88508.7</v>
      </c>
      <c r="J30" s="11">
        <v>88493</v>
      </c>
      <c r="K30" s="11">
        <v>86700</v>
      </c>
      <c r="L30" s="12">
        <f t="shared" si="0"/>
        <v>1.8685121107266436</v>
      </c>
      <c r="M30" s="12">
        <f t="shared" si="1"/>
        <v>1.895040369088812</v>
      </c>
    </row>
    <row r="31" spans="2:13" x14ac:dyDescent="0.3">
      <c r="B31">
        <v>28</v>
      </c>
      <c r="C31" s="11" t="s">
        <v>23</v>
      </c>
      <c r="D31" s="11">
        <v>46327</v>
      </c>
      <c r="E31" s="11">
        <v>43518</v>
      </c>
      <c r="F31" s="11">
        <v>43709</v>
      </c>
      <c r="G31" s="11">
        <v>44145</v>
      </c>
      <c r="H31" s="11">
        <v>44153</v>
      </c>
      <c r="I31" s="11">
        <v>43829.9</v>
      </c>
      <c r="J31" s="11">
        <v>43925.7</v>
      </c>
      <c r="K31" s="11">
        <v>42717</v>
      </c>
      <c r="L31" s="12">
        <f t="shared" si="0"/>
        <v>1.8751316805955474</v>
      </c>
      <c r="M31" s="12">
        <f t="shared" si="1"/>
        <v>2.322260458365522</v>
      </c>
    </row>
    <row r="32" spans="2:13" x14ac:dyDescent="0.3">
      <c r="B32">
        <v>29</v>
      </c>
      <c r="C32" s="11" t="s">
        <v>24</v>
      </c>
      <c r="D32" s="11">
        <v>199258</v>
      </c>
      <c r="E32" s="11">
        <v>194853</v>
      </c>
      <c r="F32" s="11">
        <v>194133</v>
      </c>
      <c r="G32" s="11">
        <v>196125</v>
      </c>
      <c r="H32" s="11">
        <v>195948</v>
      </c>
      <c r="I32" s="11">
        <v>195367.8</v>
      </c>
      <c r="J32" s="11">
        <v>194966.39999999999</v>
      </c>
      <c r="K32" s="11">
        <v>190316</v>
      </c>
      <c r="L32" s="12">
        <f t="shared" si="0"/>
        <v>2.383929885033313</v>
      </c>
      <c r="M32" s="12">
        <f t="shared" si="1"/>
        <v>2.0056117194560628</v>
      </c>
    </row>
    <row r="33" spans="2:13" x14ac:dyDescent="0.3">
      <c r="B33">
        <v>30</v>
      </c>
      <c r="C33" s="11" t="s">
        <v>25</v>
      </c>
      <c r="D33" s="11">
        <v>62563</v>
      </c>
      <c r="E33" s="11">
        <v>61084</v>
      </c>
      <c r="F33" s="11">
        <v>61270</v>
      </c>
      <c r="G33" s="11">
        <v>61503</v>
      </c>
      <c r="H33" s="11">
        <v>61922</v>
      </c>
      <c r="I33" s="11">
        <v>61348.3</v>
      </c>
      <c r="J33" s="11">
        <v>61541.2</v>
      </c>
      <c r="K33" s="11">
        <v>59535</v>
      </c>
      <c r="L33" s="12">
        <f t="shared" si="0"/>
        <v>2.6018308557991099</v>
      </c>
      <c r="M33" s="12">
        <f t="shared" si="1"/>
        <v>2.914252120601327</v>
      </c>
    </row>
    <row r="34" spans="2:13" x14ac:dyDescent="0.3">
      <c r="B34">
        <v>31</v>
      </c>
      <c r="C34" s="11" t="s">
        <v>26</v>
      </c>
      <c r="D34" s="11">
        <v>65701</v>
      </c>
      <c r="E34" s="11">
        <v>64441</v>
      </c>
      <c r="F34" s="11">
        <v>64204</v>
      </c>
      <c r="G34" s="11">
        <v>64896</v>
      </c>
      <c r="H34" s="11">
        <v>64953</v>
      </c>
      <c r="I34" s="11">
        <v>64639.9</v>
      </c>
      <c r="J34" s="11">
        <v>64515.4</v>
      </c>
      <c r="K34" s="11">
        <v>62164</v>
      </c>
      <c r="L34" s="12">
        <f t="shared" si="0"/>
        <v>3.6628917058104369</v>
      </c>
      <c r="M34" s="12">
        <f t="shared" si="1"/>
        <v>3.28164210797246</v>
      </c>
    </row>
    <row r="35" spans="2:13" x14ac:dyDescent="0.3">
      <c r="B35">
        <v>32</v>
      </c>
      <c r="C35" s="11" t="s">
        <v>27</v>
      </c>
      <c r="D35" s="11">
        <v>68409</v>
      </c>
      <c r="E35" s="11">
        <v>65897</v>
      </c>
      <c r="F35" s="11">
        <v>65688</v>
      </c>
      <c r="G35" s="11">
        <v>66440</v>
      </c>
      <c r="H35" s="11">
        <v>66458</v>
      </c>
      <c r="I35" s="11">
        <v>66093.600000000006</v>
      </c>
      <c r="J35" s="11">
        <v>66004.7</v>
      </c>
      <c r="K35" s="11">
        <v>63682</v>
      </c>
      <c r="L35" s="12">
        <f t="shared" si="0"/>
        <v>3.4782199051537326</v>
      </c>
      <c r="M35" s="12">
        <f t="shared" si="1"/>
        <v>3.1500266951414844</v>
      </c>
    </row>
    <row r="36" spans="2:13" x14ac:dyDescent="0.3">
      <c r="B36">
        <v>33</v>
      </c>
      <c r="C36" s="11" t="s">
        <v>28</v>
      </c>
      <c r="D36" s="11">
        <v>107866</v>
      </c>
      <c r="E36" s="11">
        <v>107531</v>
      </c>
      <c r="F36" s="11">
        <v>107390</v>
      </c>
      <c r="G36" s="11">
        <v>107661</v>
      </c>
      <c r="H36" s="11">
        <v>107630</v>
      </c>
      <c r="I36" s="11">
        <v>107619.5</v>
      </c>
      <c r="J36" s="11">
        <v>107549.9</v>
      </c>
      <c r="K36" s="11">
        <v>106780</v>
      </c>
      <c r="L36" s="12">
        <f t="shared" si="0"/>
        <v>0.70331522757070608</v>
      </c>
      <c r="M36" s="12">
        <f t="shared" si="1"/>
        <v>0.57126802772054697</v>
      </c>
    </row>
    <row r="37" spans="2:13" x14ac:dyDescent="0.3">
      <c r="B37">
        <v>34</v>
      </c>
      <c r="C37" s="11" t="s">
        <v>29</v>
      </c>
      <c r="D37" s="11">
        <v>157732</v>
      </c>
      <c r="E37" s="11">
        <v>151218</v>
      </c>
      <c r="F37" s="11">
        <v>150705</v>
      </c>
      <c r="G37" s="11">
        <v>152391</v>
      </c>
      <c r="H37" s="11">
        <v>152978</v>
      </c>
      <c r="I37" s="11">
        <v>151947.20000000001</v>
      </c>
      <c r="J37" s="11">
        <v>151988</v>
      </c>
      <c r="K37" s="11">
        <v>146332</v>
      </c>
      <c r="L37" s="12">
        <f t="shared" si="0"/>
        <v>3.3389825875406611</v>
      </c>
      <c r="M37" s="12">
        <f t="shared" si="1"/>
        <v>2.9884099171746441</v>
      </c>
    </row>
    <row r="38" spans="2:13" x14ac:dyDescent="0.3">
      <c r="B38">
        <v>35</v>
      </c>
      <c r="C38" s="11" t="s">
        <v>30</v>
      </c>
      <c r="D38" s="11">
        <v>86233</v>
      </c>
      <c r="E38" s="11">
        <v>84553</v>
      </c>
      <c r="F38" s="11">
        <v>84658</v>
      </c>
      <c r="G38" s="11">
        <v>85272</v>
      </c>
      <c r="H38" s="11">
        <v>85057</v>
      </c>
      <c r="I38" s="11">
        <v>84850.2</v>
      </c>
      <c r="J38" s="11">
        <v>84902.3</v>
      </c>
      <c r="K38" s="11">
        <v>81923</v>
      </c>
      <c r="L38" s="12">
        <f t="shared" si="0"/>
        <v>3.2103316528935708</v>
      </c>
      <c r="M38" s="12">
        <f t="shared" si="1"/>
        <v>3.338500787324683</v>
      </c>
    </row>
    <row r="39" spans="2:13" x14ac:dyDescent="0.3">
      <c r="B39">
        <v>36</v>
      </c>
      <c r="C39" s="11" t="s">
        <v>31</v>
      </c>
      <c r="D39" s="11">
        <v>46356</v>
      </c>
      <c r="E39" s="11">
        <v>44597</v>
      </c>
      <c r="F39" s="11">
        <v>44757</v>
      </c>
      <c r="G39" s="11">
        <v>45329</v>
      </c>
      <c r="H39" s="11">
        <v>45242</v>
      </c>
      <c r="I39" s="11">
        <v>44959.199999999997</v>
      </c>
      <c r="J39" s="11">
        <v>45014.7</v>
      </c>
      <c r="K39" s="11">
        <v>43373</v>
      </c>
      <c r="L39" s="12">
        <f t="shared" si="0"/>
        <v>2.8220321398104811</v>
      </c>
      <c r="M39" s="12">
        <f t="shared" si="1"/>
        <v>3.1909252299817861</v>
      </c>
    </row>
    <row r="40" spans="2:13" x14ac:dyDescent="0.3">
      <c r="B40">
        <v>37</v>
      </c>
      <c r="C40" s="11" t="s">
        <v>32</v>
      </c>
      <c r="D40" s="11">
        <v>139891</v>
      </c>
      <c r="E40" s="11">
        <v>139258</v>
      </c>
      <c r="F40" s="11">
        <v>139257</v>
      </c>
      <c r="G40" s="11">
        <v>139671</v>
      </c>
      <c r="H40" s="11">
        <v>139627</v>
      </c>
      <c r="I40" s="11">
        <v>139478.9</v>
      </c>
      <c r="J40" s="11">
        <v>139538</v>
      </c>
      <c r="K40" s="11">
        <v>136187</v>
      </c>
      <c r="L40" s="12">
        <f t="shared" si="0"/>
        <v>2.254987627306571</v>
      </c>
      <c r="M40" s="12">
        <f t="shared" si="1"/>
        <v>2.2542533428300793</v>
      </c>
    </row>
    <row r="41" spans="2:13" x14ac:dyDescent="0.3">
      <c r="B41">
        <v>38</v>
      </c>
      <c r="C41" s="11" t="s">
        <v>33</v>
      </c>
      <c r="D41" s="11">
        <v>79482</v>
      </c>
      <c r="E41" s="11">
        <v>79266</v>
      </c>
      <c r="F41" s="11">
        <v>79249</v>
      </c>
      <c r="G41" s="11">
        <v>79380</v>
      </c>
      <c r="H41" s="11">
        <v>79374</v>
      </c>
      <c r="I41" s="11">
        <v>79310.600000000006</v>
      </c>
      <c r="J41" s="11">
        <v>79303.7</v>
      </c>
      <c r="K41" s="11">
        <v>77269</v>
      </c>
      <c r="L41" s="12">
        <f t="shared" si="0"/>
        <v>2.5844776042138502</v>
      </c>
      <c r="M41" s="12">
        <f t="shared" si="1"/>
        <v>2.5624765429861913</v>
      </c>
    </row>
    <row r="42" spans="2:13" x14ac:dyDescent="0.3">
      <c r="B42">
        <v>39</v>
      </c>
      <c r="C42" s="11" t="s">
        <v>34</v>
      </c>
      <c r="D42" s="11">
        <v>119426</v>
      </c>
      <c r="E42" s="11">
        <v>117775</v>
      </c>
      <c r="F42" s="11">
        <v>117741</v>
      </c>
      <c r="G42" s="11">
        <v>118550</v>
      </c>
      <c r="H42" s="11">
        <v>118556</v>
      </c>
      <c r="I42" s="11">
        <v>118187.6</v>
      </c>
      <c r="J42" s="11">
        <v>118183.4</v>
      </c>
      <c r="K42" s="11">
        <v>114417</v>
      </c>
      <c r="L42" s="12">
        <f t="shared" si="0"/>
        <v>2.9348785582562034</v>
      </c>
      <c r="M42" s="12">
        <f t="shared" si="1"/>
        <v>2.9051626943548601</v>
      </c>
    </row>
    <row r="43" spans="2:13" x14ac:dyDescent="0.3">
      <c r="L43" s="13"/>
      <c r="M43" s="13"/>
    </row>
  </sheetData>
  <mergeCells count="8">
    <mergeCell ref="L2:M2"/>
    <mergeCell ref="D2:D3"/>
    <mergeCell ref="C2:C3"/>
    <mergeCell ref="B2:B3"/>
    <mergeCell ref="K2:K3"/>
    <mergeCell ref="E2:F2"/>
    <mergeCell ref="G2:H2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M.Tech</dc:creator>
  <cp:lastModifiedBy>CE24M087 Harsh Ket</cp:lastModifiedBy>
  <dcterms:created xsi:type="dcterms:W3CDTF">2015-06-05T18:17:20Z</dcterms:created>
  <dcterms:modified xsi:type="dcterms:W3CDTF">2026-05-08T08:41:10Z</dcterms:modified>
</cp:coreProperties>
</file>